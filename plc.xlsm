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8_{802C7207-4350-4410-BA9F-325A30F9F440}" xr6:coauthVersionLast="47" xr6:coauthVersionMax="47" xr10:uidLastSave="{00000000-0000-0000-0000-000000000000}"/>
  <bookViews>
    <workbookView xWindow="-110" yWindow="-110" windowWidth="19420" windowHeight="10420" xr2:uid="{6B2833F4-B803-47DC-BCD3-1B04756910C2}"/>
  </bookViews>
  <sheets>
    <sheet name="calendar" sheetId="1" r:id="rId1"/>
    <sheet name="events" sheetId="2" r:id="rId2"/>
  </sheets>
  <externalReferences>
    <externalReference r:id="rId3"/>
  </externalReferences>
  <definedNames>
    <definedName name="Calendar10Month">[1]Calendar!$C$127</definedName>
    <definedName name="Calendar10MonthOption">MATCH(Calendar10Month,Months,0)</definedName>
    <definedName name="Calendar10Year">calendar!$B$127</definedName>
    <definedName name="Calendar11Month">[1]Calendar!$C$141</definedName>
    <definedName name="Calendar11MonthOption">MATCH(Calendar11Month,Months,0)</definedName>
    <definedName name="Calendar11Year">calendar!$B$141</definedName>
    <definedName name="Calendar12Month">[1]Calendar!$C$155</definedName>
    <definedName name="Calendar12MonthOption">MATCH(Calendar12Month,Months,0)</definedName>
    <definedName name="Calendar12Year">calendar!$B$155</definedName>
    <definedName name="Calendar1Month">[1]Calendar!$C$1</definedName>
    <definedName name="Calendar1MonthOption">MATCH(Calendar1Month,Months,0)</definedName>
    <definedName name="Calendar1Year">calendar!$B$1</definedName>
    <definedName name="Calendar2Month">[1]Calendar!$C$15</definedName>
    <definedName name="Calendar2MonthOption">MATCH(Calendar2Month,Months,0)</definedName>
    <definedName name="Calendar2Year">calendar!$B$15</definedName>
    <definedName name="Calendar3Month">[1]Calendar!$C$29</definedName>
    <definedName name="Calendar3MonthOption">MATCH(Calendar3Month,Months,0)</definedName>
    <definedName name="Calendar3Year">calendar!$B$29</definedName>
    <definedName name="Calendar4Month">[1]Calendar!$C$43</definedName>
    <definedName name="Calendar4MonthOption">MATCH(Calendar4Month,Months,0)</definedName>
    <definedName name="Calendar4Year">calendar!$B$43</definedName>
    <definedName name="Calendar5Month">[1]Calendar!$C$57</definedName>
    <definedName name="Calendar5MonthOption">MATCH(Calendar5Month,Months,0)</definedName>
    <definedName name="Calendar5Year">calendar!$B$57</definedName>
    <definedName name="Calendar6Month">[1]Calendar!$C$71</definedName>
    <definedName name="Calendar6MonthOption">MATCH(Calendar6Month,Months,0)</definedName>
    <definedName name="Calendar6Year">calendar!$B$71</definedName>
    <definedName name="Calendar7Month">[1]Calendar!$C$85</definedName>
    <definedName name="Calendar7MonthOption">MATCH(Calendar7Month,Months,0)</definedName>
    <definedName name="Calendar7Year">calendar!$B$85</definedName>
    <definedName name="Calendar8Month">[1]Calendar!$C$99</definedName>
    <definedName name="Calendar8MonthOption">MATCH(Calendar8Month,Months,0)</definedName>
    <definedName name="Calendar8Year">calendar!$B$99</definedName>
    <definedName name="Calendar9Month">[1]Calendar!$C$113</definedName>
    <definedName name="Calendar9MonthOption">MATCH(Calendar9Month,Months,0)</definedName>
    <definedName name="Calendar9Year">calendar!$B$113</definedName>
    <definedName name="Days">{0,1,2,3,4,5,6}</definedName>
    <definedName name="Months">{"January","February","March","April","May","June","July","August","September","October","November","December"}</definedName>
    <definedName name="WeekdayOption">MATCH(WeekStart,Weekdays,0)+10</definedName>
    <definedName name="Weekdays">{"Monday","Tuesday","Wednesday","Thursday","Friday","Saturday","Sunday"}</definedName>
    <definedName name="WeekStart">calendar!$B$2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1" l="1"/>
  <c r="B15" i="1" s="1"/>
  <c r="B3" i="1" l="1" a="1"/>
  <c r="F3" i="1" s="1"/>
  <c r="F2" i="1" s="1"/>
  <c r="C15" i="1"/>
  <c r="B5" i="1" a="1"/>
  <c r="B7" i="1" a="1"/>
  <c r="B9" i="1" a="1"/>
  <c r="B11" i="1" a="1"/>
  <c r="B13" i="1" a="1"/>
  <c r="B3" i="1"/>
  <c r="G3" i="1" l="1"/>
  <c r="G2" i="1" s="1"/>
  <c r="D3" i="1"/>
  <c r="D2" i="1" s="1"/>
  <c r="H3" i="1"/>
  <c r="H2" i="1" s="1"/>
  <c r="C3" i="1"/>
  <c r="C2" i="1" s="1"/>
  <c r="E3" i="1"/>
  <c r="E2" i="1" s="1"/>
  <c r="H9" i="1"/>
  <c r="D9" i="1"/>
  <c r="G9" i="1"/>
  <c r="C9" i="1"/>
  <c r="B9" i="1"/>
  <c r="F9" i="1"/>
  <c r="E9" i="1"/>
  <c r="H7" i="1"/>
  <c r="D7" i="1"/>
  <c r="G7" i="1"/>
  <c r="C7" i="1"/>
  <c r="B7" i="1"/>
  <c r="F7" i="1"/>
  <c r="E7" i="1"/>
  <c r="H5" i="1"/>
  <c r="D5" i="1"/>
  <c r="G5" i="1"/>
  <c r="C5" i="1"/>
  <c r="B5" i="1"/>
  <c r="F5" i="1"/>
  <c r="E5" i="1"/>
  <c r="C13" i="1"/>
  <c r="B13" i="1"/>
  <c r="H11" i="1"/>
  <c r="D11" i="1"/>
  <c r="G11" i="1"/>
  <c r="C11" i="1"/>
  <c r="B11" i="1"/>
  <c r="F11" i="1"/>
  <c r="E11" i="1"/>
  <c r="C29" i="1" l="1"/>
  <c r="B29" i="1"/>
  <c r="B19" i="1" a="1"/>
  <c r="B17" i="1" a="1"/>
  <c r="B25" i="1" a="1"/>
  <c r="B27" i="1" a="1"/>
  <c r="B21" i="1" a="1"/>
  <c r="B23" i="1" a="1"/>
  <c r="H23" i="1" l="1"/>
  <c r="F23" i="1"/>
  <c r="D23" i="1"/>
  <c r="E23" i="1"/>
  <c r="G23" i="1"/>
  <c r="B23" i="1"/>
  <c r="C23" i="1"/>
  <c r="G17" i="1"/>
  <c r="G16" i="1" s="1"/>
  <c r="B17" i="1"/>
  <c r="B16" i="1" s="1"/>
  <c r="D17" i="1"/>
  <c r="D16" i="1" s="1"/>
  <c r="C17" i="1"/>
  <c r="C16" i="1" s="1"/>
  <c r="H17" i="1"/>
  <c r="H16" i="1" s="1"/>
  <c r="F17" i="1"/>
  <c r="F16" i="1" s="1"/>
  <c r="E17" i="1"/>
  <c r="E16" i="1" s="1"/>
  <c r="G21" i="1"/>
  <c r="B21" i="1"/>
  <c r="C21" i="1"/>
  <c r="E21" i="1"/>
  <c r="H21" i="1"/>
  <c r="F21" i="1"/>
  <c r="D21" i="1"/>
  <c r="D19" i="1"/>
  <c r="E19" i="1"/>
  <c r="G19" i="1"/>
  <c r="B19" i="1"/>
  <c r="F19" i="1"/>
  <c r="C19" i="1"/>
  <c r="H19" i="1"/>
  <c r="C27" i="1"/>
  <c r="B27" i="1"/>
  <c r="B37" i="1" a="1"/>
  <c r="B31" i="1" a="1"/>
  <c r="B35" i="1" a="1"/>
  <c r="B39" i="1" a="1"/>
  <c r="C43" i="1"/>
  <c r="B43" i="1"/>
  <c r="B41" i="1" a="1"/>
  <c r="B33" i="1" a="1"/>
  <c r="D25" i="1"/>
  <c r="E25" i="1"/>
  <c r="G25" i="1"/>
  <c r="B25" i="1"/>
  <c r="C25" i="1"/>
  <c r="H25" i="1"/>
  <c r="F25" i="1"/>
  <c r="E37" i="1" l="1"/>
  <c r="C37" i="1"/>
  <c r="H37" i="1"/>
  <c r="F37" i="1"/>
  <c r="G37" i="1"/>
  <c r="D37" i="1"/>
  <c r="B37" i="1"/>
  <c r="H33" i="1"/>
  <c r="B33" i="1"/>
  <c r="D33" i="1"/>
  <c r="F33" i="1"/>
  <c r="G33" i="1"/>
  <c r="E33" i="1"/>
  <c r="C33" i="1"/>
  <c r="B51" i="1" a="1"/>
  <c r="B49" i="1" a="1"/>
  <c r="B53" i="1" a="1"/>
  <c r="B47" i="1" a="1"/>
  <c r="B45" i="1" a="1"/>
  <c r="B55" i="1" a="1"/>
  <c r="C31" i="1"/>
  <c r="C30" i="1" s="1"/>
  <c r="H31" i="1"/>
  <c r="H30" i="1" s="1"/>
  <c r="B31" i="1"/>
  <c r="B30" i="1" s="1"/>
  <c r="G31" i="1"/>
  <c r="G30" i="1" s="1"/>
  <c r="E31" i="1"/>
  <c r="E30" i="1" s="1"/>
  <c r="D31" i="1"/>
  <c r="D30" i="1" s="1"/>
  <c r="F31" i="1"/>
  <c r="F30" i="1" s="1"/>
  <c r="H39" i="1"/>
  <c r="F39" i="1"/>
  <c r="C39" i="1"/>
  <c r="D39" i="1"/>
  <c r="B39" i="1"/>
  <c r="G39" i="1"/>
  <c r="E39" i="1"/>
  <c r="C41" i="1"/>
  <c r="B41" i="1"/>
  <c r="G35" i="1"/>
  <c r="E35" i="1"/>
  <c r="F35" i="1"/>
  <c r="C35" i="1"/>
  <c r="H35" i="1"/>
  <c r="B35" i="1"/>
  <c r="D35" i="1"/>
  <c r="H51" i="1" l="1"/>
  <c r="C51" i="1"/>
  <c r="D51" i="1"/>
  <c r="G51" i="1"/>
  <c r="E51" i="1"/>
  <c r="F51" i="1"/>
  <c r="B51" i="1"/>
  <c r="D49" i="1"/>
  <c r="F49" i="1"/>
  <c r="C49" i="1"/>
  <c r="E49" i="1"/>
  <c r="H49" i="1"/>
  <c r="G49" i="1"/>
  <c r="B49" i="1"/>
  <c r="F47" i="1"/>
  <c r="G47" i="1"/>
  <c r="E47" i="1"/>
  <c r="H47" i="1"/>
  <c r="C47" i="1"/>
  <c r="D47" i="1"/>
  <c r="B47" i="1"/>
  <c r="C55" i="1"/>
  <c r="B55" i="1"/>
  <c r="E45" i="1"/>
  <c r="E44" i="1" s="1"/>
  <c r="C45" i="1"/>
  <c r="C44" i="1" s="1"/>
  <c r="H45" i="1"/>
  <c r="H44" i="1" s="1"/>
  <c r="F45" i="1"/>
  <c r="F44" i="1" s="1"/>
  <c r="D45" i="1"/>
  <c r="D44" i="1" s="1"/>
  <c r="B45" i="1"/>
  <c r="B44" i="1" s="1"/>
  <c r="G45" i="1"/>
  <c r="G44" i="1" s="1"/>
  <c r="G53" i="1"/>
  <c r="H53" i="1"/>
  <c r="B53" i="1"/>
  <c r="D53" i="1"/>
  <c r="E53" i="1"/>
  <c r="C53" i="1"/>
  <c r="F53" i="1"/>
</calcChain>
</file>

<file path=xl/sharedStrings.xml><?xml version="1.0" encoding="utf-8"?>
<sst xmlns="http://schemas.openxmlformats.org/spreadsheetml/2006/main" count="14" uniqueCount="11">
  <si>
    <t>August</t>
  </si>
  <si>
    <t>MONDAY</t>
  </si>
  <si>
    <t>Notes:</t>
  </si>
  <si>
    <t>Date</t>
  </si>
  <si>
    <t>Events</t>
  </si>
  <si>
    <t>Birthday</t>
  </si>
  <si>
    <t>Anniversary</t>
  </si>
  <si>
    <t>_x000D_
Birthday</t>
  </si>
  <si>
    <t>_x000D_
Anniversary</t>
  </si>
  <si>
    <t>Cake Day</t>
  </si>
  <si>
    <t>_x000D_
Cake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</si>
</sst>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entury Gothic"/>
      <family val="2"/>
    </font>
    <font>
      <sz val="16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164" fontId="8" fillId="0" borderId="4" applyFill="0" applyProtection="0">
      <alignment horizontal="left" vertical="center" wrapText="1" indent="1"/>
    </xf>
    <xf numFmtId="164" fontId="9" fillId="0" borderId="6" applyFill="0" applyProtection="0">
      <alignment horizontal="left" vertical="top" wrapText="1" indent="1"/>
    </xf>
    <xf numFmtId="164" fontId="10" fillId="0" borderId="9" applyNumberFormat="0" applyFill="0" applyProtection="0">
      <alignment horizontal="left" vertical="center" wrapText="1" indent="1"/>
    </xf>
    <xf numFmtId="164" fontId="1" fillId="0" borderId="0" applyNumberFormat="0" applyFill="0" applyProtection="0">
      <alignment horizontal="left" vertical="top" wrapText="1" indent="1"/>
    </xf>
  </cellStyleXfs>
  <cellXfs count="20">
    <xf numFmtId="0" fontId="0" fillId="0" borderId="0" xfId="0"/>
    <xf numFmtId="0" fontId="0" fillId="2" borderId="0" xfId="0" applyFill="1"/>
    <xf numFmtId="0" fontId="2" fillId="0" borderId="0" xfId="1" applyAlignment="1">
      <alignment horizontal="center"/>
    </xf>
    <xf numFmtId="0" fontId="0" fillId="0" borderId="0" xfId="0" applyAlignment="1">
      <alignment wrapText="1"/>
    </xf>
    <xf numFmtId="0" fontId="7" fillId="0" borderId="0" xfId="0" applyFont="1"/>
    <xf numFmtId="0" fontId="4" fillId="0" borderId="2" xfId="3" applyAlignment="1">
      <alignment horizontal="left" vertical="center" indent="1"/>
    </xf>
    <xf numFmtId="0" fontId="5" fillId="0" borderId="3" xfId="4" applyAlignment="1">
      <alignment horizontal="left" vertical="center" indent="1"/>
    </xf>
    <xf numFmtId="164" fontId="8" fillId="0" borderId="4" xfId="5" applyFill="1">
      <alignment horizontal="left" vertical="center" wrapText="1" indent="1"/>
    </xf>
    <xf numFmtId="164" fontId="8" fillId="0" borderId="5" xfId="5" applyFill="1" applyBorder="1">
      <alignment horizontal="left" vertical="center" wrapText="1" indent="1"/>
    </xf>
    <xf numFmtId="0" fontId="9" fillId="0" borderId="6" xfId="6" applyNumberFormat="1" applyFill="1">
      <alignment horizontal="left" vertical="top" wrapText="1" indent="1"/>
    </xf>
    <xf numFmtId="0" fontId="9" fillId="0" borderId="7" xfId="6" applyNumberFormat="1" applyFill="1" applyBorder="1">
      <alignment horizontal="left" vertical="top" wrapText="1" indent="1"/>
    </xf>
    <xf numFmtId="0" fontId="9" fillId="0" borderId="8" xfId="6" applyNumberFormat="1" applyFill="1" applyBorder="1">
      <alignment horizontal="left" vertical="top" wrapText="1" indent="1"/>
    </xf>
    <xf numFmtId="0" fontId="9" fillId="0" borderId="10" xfId="6" applyNumberFormat="1" applyFill="1" applyBorder="1">
      <alignment horizontal="left" vertical="top" wrapText="1" indent="1"/>
    </xf>
    <xf numFmtId="14" fontId="0" fillId="0" borderId="0" xfId="0" applyNumberFormat="1"/>
    <xf numFmtId="0" fontId="6" fillId="0" borderId="0" xfId="0" applyFont="1"/>
    <xf numFmtId="0" fontId="1" fillId="0" borderId="0" xfId="8" applyNumberFormat="1">
      <alignment horizontal="left" vertical="top" wrapText="1" indent="1"/>
    </xf>
    <xf numFmtId="0" fontId="3" fillId="0" borderId="1" xfId="2" applyAlignment="1">
      <alignment horizontal="left" indent="3"/>
    </xf>
    <xf numFmtId="0" fontId="10" fillId="0" borderId="9" xfId="7" applyNumberFormat="1">
      <alignment horizontal="left" vertical="center" wrapText="1" indent="1"/>
    </xf>
    <xf numFmtId="164" fontId="10" fillId="0" borderId="9" xfId="7">
      <alignment horizontal="left" vertical="center" wrapText="1" indent="1"/>
    </xf>
    <xf numFmtId="164" fontId="0" fillId="0" borderId="9" xfId="7" applyFont="1">
      <alignment horizontal="left" vertical="center" wrapText="1" indent="1"/>
    </xf>
  </cellXfs>
  <cellStyles count="9">
    <cellStyle name="Day" xfId="5" xr:uid="{F3B7BEEE-A8D3-49E4-87F6-8747CDADBF10}"/>
    <cellStyle name="Day Detail" xfId="6" xr:uid="{9648DF69-F563-4D5A-B4D1-A7A796EE6920}"/>
    <cellStyle name="Heading 1" xfId="2" builtinId="16"/>
    <cellStyle name="Heading 2" xfId="3" builtinId="17"/>
    <cellStyle name="Heading 3" xfId="4" builtinId="18"/>
    <cellStyle name="Normal" xfId="0" builtinId="0"/>
    <cellStyle name="Notes" xfId="8" xr:uid="{2207F0D7-0FDC-4946-98BE-ECC8A31E2C9E}"/>
    <cellStyle name="Notes Header" xfId="7" xr:uid="{7DD8A41E-941F-4037-816A-A134F9B86338}"/>
    <cellStyle name="Title" xfId="1" builtinId="15"/>
  </cellStyles>
  <dxfs count="12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596900</xdr:colOff>
          <xdr:row>3</xdr:row>
          <xdr:rowOff>355600</xdr:rowOff>
        </xdr:from>
        <xdr:to>
          <xdr:col>13</xdr:col>
          <xdr:colOff>469900</xdr:colOff>
          <xdr:row>7</xdr:row>
          <xdr:rowOff>165100</xdr:rowOff>
        </xdr:to>
        <xdr:sp macro="" textlink="">
          <xdr:nvSpPr>
            <xdr:cNvPr id="1025" name="Cmdeven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pulate%20Calend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Events"/>
    </sheetNames>
    <sheetDataSet>
      <sheetData sheetId="0">
        <row r="1">
          <cell r="C1" t="str">
            <v>August</v>
          </cell>
        </row>
        <row r="15">
          <cell r="C15" t="str">
            <v>September</v>
          </cell>
        </row>
        <row r="29">
          <cell r="C29" t="str">
            <v>October</v>
          </cell>
        </row>
        <row r="43">
          <cell r="C43" t="str">
            <v>November</v>
          </cell>
        </row>
        <row r="57">
          <cell r="C57" t="str">
            <v>December</v>
          </cell>
        </row>
        <row r="71">
          <cell r="C71" t="str">
            <v>January</v>
          </cell>
        </row>
        <row r="85">
          <cell r="C85" t="str">
            <v>February</v>
          </cell>
        </row>
        <row r="99">
          <cell r="C99" t="str">
            <v>March</v>
          </cell>
        </row>
        <row r="113">
          <cell r="C113" t="str">
            <v>April</v>
          </cell>
        </row>
        <row r="127">
          <cell r="C127" t="str">
            <v>May</v>
          </cell>
        </row>
        <row r="141">
          <cell r="C141" t="str">
            <v>June</v>
          </cell>
        </row>
        <row r="155">
          <cell r="C155" t="str">
            <v>July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72B5D-AF26-422C-BFD3-492A2D210B78}">
  <sheetPr codeName="Sheet1"/>
  <dimension ref="A1:K168"/>
  <sheetViews>
    <sheetView tabSelected="1" zoomScale="69" zoomScaleNormal="69" workbookViewId="0">
      <selection activeCell="G7" sqref="G7"/>
    </sheetView>
  </sheetViews>
  <sheetFormatPr defaultColWidth="9.54296875" defaultRowHeight="14.5" x14ac:dyDescent="0.35"/>
  <cols>
    <col min="1" max="1" width="2.1796875" customWidth="1"/>
    <col min="2" max="2" width="19.90625" customWidth="1"/>
    <col min="3" max="8" width="19.1796875" customWidth="1"/>
    <col min="9" max="9" width="2.7265625" customWidth="1"/>
    <col min="14" max="14" width="7.36328125" customWidth="1"/>
  </cols>
  <sheetData>
    <row r="1" spans="1:11" ht="54" customHeight="1" thickBot="1" x14ac:dyDescent="0.6">
      <c r="A1" s="1"/>
      <c r="B1" s="2">
        <f ca="1">YEAR(TODAY())</f>
        <v>2022</v>
      </c>
      <c r="C1" s="16" t="s">
        <v>0</v>
      </c>
      <c r="D1" s="16"/>
      <c r="E1" s="16"/>
      <c r="F1" s="1"/>
      <c r="G1" s="1"/>
      <c r="H1" s="1"/>
      <c r="K1" s="3"/>
    </row>
    <row r="2" spans="1:11" ht="14.25" customHeight="1" thickTop="1" thickBot="1" x14ac:dyDescent="0.4">
      <c r="A2" s="4"/>
      <c r="B2" s="5" t="s">
        <v>1</v>
      </c>
      <c r="C2" s="6" t="str">
        <f ca="1">UPPER(TEXT(C3,"dddd"))</f>
        <v>TUESDAY</v>
      </c>
      <c r="D2" s="5" t="str">
        <f t="shared" ref="D2:H2" ca="1" si="0">UPPER(TEXT(D3,"dddd"))</f>
        <v>WEDNESDAY</v>
      </c>
      <c r="E2" s="6" t="str">
        <f t="shared" ca="1" si="0"/>
        <v>THURSDAY</v>
      </c>
      <c r="F2" s="5" t="str">
        <f t="shared" ca="1" si="0"/>
        <v>FRIDAY</v>
      </c>
      <c r="G2" s="6" t="str">
        <f t="shared" ca="1" si="0"/>
        <v>SATURDAY</v>
      </c>
      <c r="H2" s="5" t="str">
        <f t="shared" ca="1" si="0"/>
        <v>SUNDAY</v>
      </c>
    </row>
    <row r="3" spans="1:11" ht="16.5" customHeight="1" thickTop="1" x14ac:dyDescent="0.35">
      <c r="B3" s="7">
        <f t="array" aca="1" ref="B3:H3" ca="1">Days+1+DATE(Calendar1Year,Calendar1MonthOption,1)-WEEKDAY(DATE(Calendar1Year,Calendar1MonthOption,1),WeekdayOption)</f>
        <v>44774</v>
      </c>
      <c r="C3" s="7">
        <f ca="1"/>
        <v>44775</v>
      </c>
      <c r="D3" s="7">
        <f ca="1"/>
        <v>44776</v>
      </c>
      <c r="E3" s="7">
        <f ca="1"/>
        <v>44777</v>
      </c>
      <c r="F3" s="7">
        <f ca="1"/>
        <v>44778</v>
      </c>
      <c r="G3" s="7">
        <f ca="1"/>
        <v>44779</v>
      </c>
      <c r="H3" s="8">
        <f ca="1"/>
        <v>44780</v>
      </c>
    </row>
    <row r="4" spans="1:11" ht="56.25" customHeight="1" x14ac:dyDescent="0.35">
      <c r="B4" s="9" t="s">
        <v>7</v>
      </c>
      <c r="C4" s="9"/>
      <c r="D4" s="9"/>
      <c r="E4" s="9"/>
      <c r="F4" s="9"/>
      <c r="G4" s="9"/>
      <c r="H4" s="10"/>
    </row>
    <row r="5" spans="1:11" ht="16.5" customHeight="1" x14ac:dyDescent="0.35">
      <c r="B5" s="7">
        <f t="array" aca="1" ref="B5:H5" ca="1">Days+8+DATE(Calendar1Year,Calendar1MonthOption,1)-WEEKDAY(DATE(Calendar1Year,Calendar1MonthOption,1),WeekdayOption)</f>
        <v>44781</v>
      </c>
      <c r="C5" s="7">
        <f ca="1"/>
        <v>44782</v>
      </c>
      <c r="D5" s="7">
        <f ca="1"/>
        <v>44783</v>
      </c>
      <c r="E5" s="7">
        <f ca="1"/>
        <v>44784</v>
      </c>
      <c r="F5" s="7">
        <f ca="1"/>
        <v>44785</v>
      </c>
      <c r="G5" s="7">
        <f ca="1"/>
        <v>44786</v>
      </c>
      <c r="H5" s="8">
        <f ca="1"/>
        <v>44787</v>
      </c>
    </row>
    <row r="6" spans="1:11" ht="56.25" customHeight="1" x14ac:dyDescent="0.35">
      <c r="B6" s="9"/>
      <c r="C6" s="9"/>
      <c r="D6" s="9"/>
      <c r="E6" s="9"/>
      <c r="F6" s="9"/>
      <c r="G6" s="9"/>
      <c r="H6" s="11"/>
    </row>
    <row r="7" spans="1:11" ht="16.5" customHeight="1" x14ac:dyDescent="0.35">
      <c r="B7" s="7">
        <f t="array" aca="1" ref="B7:H7" ca="1">Days+15+DATE(Calendar1Year,Calendar1MonthOption,1)-WEEKDAY(DATE(Calendar1Year,Calendar1MonthOption,1),WeekdayOption)</f>
        <v>44788</v>
      </c>
      <c r="C7" s="7">
        <f ca="1"/>
        <v>44789</v>
      </c>
      <c r="D7" s="7">
        <f ca="1"/>
        <v>44790</v>
      </c>
      <c r="E7" s="7">
        <f ca="1"/>
        <v>44791</v>
      </c>
      <c r="F7" s="7">
        <f ca="1"/>
        <v>44792</v>
      </c>
      <c r="G7" s="7">
        <f ca="1"/>
        <v>44793</v>
      </c>
      <c r="H7" s="8">
        <f ca="1"/>
        <v>44794</v>
      </c>
    </row>
    <row r="8" spans="1:11" ht="56.25" customHeight="1" x14ac:dyDescent="0.35">
      <c r="B8" s="9"/>
      <c r="C8" s="9"/>
      <c r="D8" s="9"/>
      <c r="E8" s="9" t="s">
        <v>8</v>
      </c>
      <c r="F8" s="9"/>
      <c r="G8" s="9"/>
      <c r="H8" s="10"/>
    </row>
    <row r="9" spans="1:11" ht="16.5" customHeight="1" x14ac:dyDescent="0.35">
      <c r="B9" s="7">
        <f t="array" aca="1" ref="B9:H9" ca="1">Days+22+DATE(Calendar1Year,Calendar1MonthOption,1)-WEEKDAY(DATE(Calendar1Year,Calendar1MonthOption,1),WeekdayOption)</f>
        <v>44795</v>
      </c>
      <c r="C9" s="7">
        <f ca="1"/>
        <v>44796</v>
      </c>
      <c r="D9" s="7">
        <f ca="1"/>
        <v>44797</v>
      </c>
      <c r="E9" s="7">
        <f ca="1"/>
        <v>44798</v>
      </c>
      <c r="F9" s="7">
        <f ca="1"/>
        <v>44799</v>
      </c>
      <c r="G9" s="7">
        <f ca="1"/>
        <v>44800</v>
      </c>
      <c r="H9" s="8">
        <f ca="1"/>
        <v>44801</v>
      </c>
    </row>
    <row r="10" spans="1:11" ht="56.25" customHeight="1" x14ac:dyDescent="0.35">
      <c r="B10" s="9"/>
      <c r="C10" s="9"/>
      <c r="D10" s="9"/>
      <c r="E10" s="9"/>
      <c r="F10" s="9"/>
      <c r="G10" s="9"/>
      <c r="H10" s="10"/>
    </row>
    <row r="11" spans="1:11" ht="16.5" customHeight="1" x14ac:dyDescent="0.35">
      <c r="B11" s="7">
        <f t="array" aca="1" ref="B11:H11" ca="1">Days+29+DATE(Calendar1Year,Calendar1MonthOption,1)-WEEKDAY(DATE(Calendar1Year,Calendar1MonthOption,1),WeekdayOption)</f>
        <v>44802</v>
      </c>
      <c r="C11" s="7">
        <f ca="1"/>
        <v>44803</v>
      </c>
      <c r="D11" s="7">
        <f ca="1"/>
        <v>44804</v>
      </c>
      <c r="E11" s="7">
        <f ca="1"/>
        <v>44805</v>
      </c>
      <c r="F11" s="7">
        <f ca="1"/>
        <v>44806</v>
      </c>
      <c r="G11" s="7">
        <f ca="1"/>
        <v>44807</v>
      </c>
      <c r="H11" s="8">
        <f ca="1"/>
        <v>44808</v>
      </c>
    </row>
    <row r="12" spans="1:11" ht="57" customHeight="1" x14ac:dyDescent="0.35">
      <c r="B12" s="9" t="s">
        <v>10</v>
      </c>
      <c r="C12" s="9"/>
      <c r="D12" s="9"/>
      <c r="E12" s="9"/>
      <c r="F12" s="9"/>
      <c r="G12" s="9"/>
      <c r="H12" s="10"/>
    </row>
    <row r="13" spans="1:11" ht="16.5" customHeight="1" x14ac:dyDescent="0.35">
      <c r="B13" s="7">
        <f t="array" aca="1" ref="B13:C13" ca="1">Days+36+DATE(Calendar1Year,Calendar1MonthOption,1)-WEEKDAY(DATE(Calendar1Year,Calendar1MonthOption,1),WeekdayOption)</f>
        <v>44809</v>
      </c>
      <c r="C13" s="7">
        <f ca="1"/>
        <v>44810</v>
      </c>
      <c r="D13" s="17" t="s">
        <v>2</v>
      </c>
      <c r="E13" s="17"/>
      <c r="F13" s="17"/>
      <c r="G13" s="17"/>
      <c r="H13" s="17"/>
    </row>
    <row r="14" spans="1:11" ht="63.75" customHeight="1" x14ac:dyDescent="0.35">
      <c r="B14" s="9"/>
      <c r="C14" s="9"/>
      <c r="D14" s="15"/>
      <c r="E14" s="15"/>
      <c r="F14" s="15"/>
      <c r="G14" s="15"/>
      <c r="H14" s="15"/>
    </row>
    <row r="15" spans="1:11" ht="54" customHeight="1" thickBot="1" x14ac:dyDescent="0.6">
      <c r="A15" s="1"/>
      <c r="B15" s="2">
        <f ca="1">YEAR(DATE(Calendar1Year,Calendar1MonthOption+1,1))</f>
        <v>2022</v>
      </c>
      <c r="C15" s="16" t="str">
        <f ca="1">TEXT(DATE(Calendar1Year,Calendar1MonthOption+1,1),"mmmm")</f>
        <v>September</v>
      </c>
      <c r="D15" s="16"/>
      <c r="E15" s="16"/>
      <c r="F15" s="1"/>
      <c r="G15" s="1"/>
      <c r="H15" s="1"/>
    </row>
    <row r="16" spans="1:11" ht="14.25" customHeight="1" thickTop="1" thickBot="1" x14ac:dyDescent="0.4">
      <c r="A16" s="4"/>
      <c r="B16" s="5" t="str">
        <f ca="1">UPPER(TEXT(B17,"dddd"))</f>
        <v>MONDAY</v>
      </c>
      <c r="C16" s="6" t="str">
        <f t="shared" ref="C16:H16" ca="1" si="1">UPPER(TEXT(C17,"dddd"))</f>
        <v>TUESDAY</v>
      </c>
      <c r="D16" s="5" t="str">
        <f t="shared" ca="1" si="1"/>
        <v>WEDNESDAY</v>
      </c>
      <c r="E16" s="6" t="str">
        <f t="shared" ca="1" si="1"/>
        <v>THURSDAY</v>
      </c>
      <c r="F16" s="5" t="str">
        <f t="shared" ca="1" si="1"/>
        <v>FRIDAY</v>
      </c>
      <c r="G16" s="6" t="str">
        <f t="shared" ca="1" si="1"/>
        <v>SATURDAY</v>
      </c>
      <c r="H16" s="5" t="str">
        <f t="shared" ca="1" si="1"/>
        <v>SUNDAY</v>
      </c>
    </row>
    <row r="17" spans="1:8" ht="16.5" customHeight="1" thickTop="1" x14ac:dyDescent="0.35">
      <c r="B17" s="7">
        <f t="array" aca="1" ref="B17:H17" ca="1">Days+1+DATE(Calendar2Year,Calendar2MonthOption,1)-WEEKDAY(DATE(Calendar2Year,Calendar2MonthOption,1),WeekdayOption)</f>
        <v>44802</v>
      </c>
      <c r="C17" s="7">
        <f ca="1"/>
        <v>44803</v>
      </c>
      <c r="D17" s="7">
        <f ca="1"/>
        <v>44804</v>
      </c>
      <c r="E17" s="7">
        <f ca="1"/>
        <v>44805</v>
      </c>
      <c r="F17" s="7">
        <f ca="1"/>
        <v>44806</v>
      </c>
      <c r="G17" s="7">
        <f ca="1"/>
        <v>44807</v>
      </c>
      <c r="H17" s="8">
        <f ca="1"/>
        <v>44808</v>
      </c>
    </row>
    <row r="18" spans="1:8" ht="56.25" customHeight="1" x14ac:dyDescent="0.35">
      <c r="B18" s="9"/>
      <c r="C18" s="9"/>
      <c r="D18" s="9"/>
      <c r="E18" s="9"/>
      <c r="F18" s="9"/>
      <c r="G18" s="9"/>
      <c r="H18" s="10"/>
    </row>
    <row r="19" spans="1:8" ht="16.5" customHeight="1" x14ac:dyDescent="0.35">
      <c r="B19" s="7">
        <f t="array" aca="1" ref="B19:H19" ca="1">Days+8+DATE(Calendar2Year,Calendar2MonthOption,1)-WEEKDAY(DATE(Calendar2Year,Calendar2MonthOption,1),WeekdayOption)</f>
        <v>44809</v>
      </c>
      <c r="C19" s="7">
        <f ca="1"/>
        <v>44810</v>
      </c>
      <c r="D19" s="7">
        <f ca="1"/>
        <v>44811</v>
      </c>
      <c r="E19" s="7">
        <f ca="1"/>
        <v>44812</v>
      </c>
      <c r="F19" s="7">
        <f ca="1"/>
        <v>44813</v>
      </c>
      <c r="G19" s="7">
        <f ca="1"/>
        <v>44814</v>
      </c>
      <c r="H19" s="8">
        <f ca="1"/>
        <v>44815</v>
      </c>
    </row>
    <row r="20" spans="1:8" ht="56.25" customHeight="1" x14ac:dyDescent="0.35">
      <c r="B20" s="9"/>
      <c r="C20" s="9"/>
      <c r="D20" s="9"/>
      <c r="E20" s="9"/>
      <c r="F20" s="9"/>
      <c r="G20" s="9"/>
      <c r="H20" s="10"/>
    </row>
    <row r="21" spans="1:8" ht="16.5" customHeight="1" x14ac:dyDescent="0.35">
      <c r="B21" s="7">
        <f t="array" aca="1" ref="B21:H21" ca="1">Days+15+DATE(Calendar2Year,Calendar2MonthOption,1)-WEEKDAY(DATE(Calendar2Year,Calendar2MonthOption,1),WeekdayOption)</f>
        <v>44816</v>
      </c>
      <c r="C21" s="7">
        <f ca="1"/>
        <v>44817</v>
      </c>
      <c r="D21" s="7">
        <f ca="1"/>
        <v>44818</v>
      </c>
      <c r="E21" s="7">
        <f ca="1"/>
        <v>44819</v>
      </c>
      <c r="F21" s="7">
        <f ca="1"/>
        <v>44820</v>
      </c>
      <c r="G21" s="7">
        <f ca="1"/>
        <v>44821</v>
      </c>
      <c r="H21" s="8">
        <f ca="1"/>
        <v>44822</v>
      </c>
    </row>
    <row r="22" spans="1:8" ht="56.25" customHeight="1" x14ac:dyDescent="0.35">
      <c r="B22" s="9"/>
      <c r="C22" s="9"/>
      <c r="D22" s="9"/>
      <c r="E22" s="9"/>
      <c r="F22" s="9"/>
      <c r="G22" s="9"/>
      <c r="H22" s="10"/>
    </row>
    <row r="23" spans="1:8" ht="16.5" customHeight="1" x14ac:dyDescent="0.35">
      <c r="B23" s="7">
        <f t="array" aca="1" ref="B23:H23" ca="1">Days+22+DATE(Calendar2Year,Calendar2MonthOption,1)-WEEKDAY(DATE(Calendar2Year,Calendar2MonthOption,1),WeekdayOption)</f>
        <v>44823</v>
      </c>
      <c r="C23" s="7">
        <f ca="1"/>
        <v>44824</v>
      </c>
      <c r="D23" s="7">
        <f ca="1"/>
        <v>44825</v>
      </c>
      <c r="E23" s="7">
        <f ca="1"/>
        <v>44826</v>
      </c>
      <c r="F23" s="7">
        <f ca="1"/>
        <v>44827</v>
      </c>
      <c r="G23" s="7">
        <f ca="1"/>
        <v>44828</v>
      </c>
      <c r="H23" s="8">
        <f ca="1"/>
        <v>44829</v>
      </c>
    </row>
    <row r="24" spans="1:8" ht="56.25" customHeight="1" x14ac:dyDescent="0.35">
      <c r="B24" s="9"/>
      <c r="C24" s="9"/>
      <c r="D24" s="9"/>
      <c r="E24" s="9"/>
      <c r="F24" s="9"/>
      <c r="G24" s="9"/>
      <c r="H24" s="10"/>
    </row>
    <row r="25" spans="1:8" ht="16.5" customHeight="1" x14ac:dyDescent="0.35">
      <c r="B25" s="7">
        <f t="array" aca="1" ref="B25:H25" ca="1">Days+29+DATE(Calendar2Year,Calendar2MonthOption,1)-WEEKDAY(DATE(Calendar2Year,Calendar2MonthOption,1),WeekdayOption)</f>
        <v>44830</v>
      </c>
      <c r="C25" s="7">
        <f ca="1"/>
        <v>44831</v>
      </c>
      <c r="D25" s="7">
        <f ca="1"/>
        <v>44832</v>
      </c>
      <c r="E25" s="7">
        <f ca="1"/>
        <v>44833</v>
      </c>
      <c r="F25" s="7">
        <f ca="1"/>
        <v>44834</v>
      </c>
      <c r="G25" s="7">
        <f ca="1"/>
        <v>44835</v>
      </c>
      <c r="H25" s="8">
        <f ca="1"/>
        <v>44836</v>
      </c>
    </row>
    <row r="26" spans="1:8" ht="57" customHeight="1" x14ac:dyDescent="0.35">
      <c r="B26" s="9"/>
      <c r="C26" s="9"/>
      <c r="D26" s="9"/>
      <c r="E26" s="9"/>
      <c r="F26" s="9"/>
      <c r="G26" s="9"/>
      <c r="H26" s="12"/>
    </row>
    <row r="27" spans="1:8" ht="16.5" customHeight="1" x14ac:dyDescent="0.35">
      <c r="B27" s="7">
        <f t="array" aca="1" ref="B27:C27" ca="1">Days+36+DATE(Calendar2Year,Calendar2MonthOption,1)-WEEKDAY(DATE(Calendar2Year,Calendar2MonthOption,1),WeekdayOption)</f>
        <v>44837</v>
      </c>
      <c r="C27" s="7">
        <f ca="1"/>
        <v>44838</v>
      </c>
      <c r="D27" s="18" t="s">
        <v>2</v>
      </c>
      <c r="E27" s="18"/>
      <c r="F27" s="18"/>
      <c r="G27" s="18"/>
      <c r="H27" s="18"/>
    </row>
    <row r="28" spans="1:8" ht="63.75" customHeight="1" x14ac:dyDescent="0.35">
      <c r="B28" s="9"/>
      <c r="C28" s="9"/>
      <c r="D28" s="15"/>
      <c r="E28" s="15"/>
      <c r="F28" s="15"/>
      <c r="G28" s="15"/>
      <c r="H28" s="15"/>
    </row>
    <row r="29" spans="1:8" ht="54" customHeight="1" thickBot="1" x14ac:dyDescent="0.6">
      <c r="A29" s="1"/>
      <c r="B29" s="2">
        <f ca="1">YEAR(DATE(Calendar2Year,Calendar2MonthOption+1,1))</f>
        <v>2022</v>
      </c>
      <c r="C29" s="16" t="str">
        <f ca="1">TEXT(DATE(Calendar2Year,Calendar2MonthOption+1,1),"mmmm")</f>
        <v>October</v>
      </c>
      <c r="D29" s="16"/>
      <c r="E29" s="16"/>
      <c r="F29" s="1"/>
      <c r="G29" s="1"/>
      <c r="H29" s="1"/>
    </row>
    <row r="30" spans="1:8" ht="14.25" customHeight="1" thickTop="1" thickBot="1" x14ac:dyDescent="0.4">
      <c r="A30" s="4"/>
      <c r="B30" s="5" t="str">
        <f ca="1">UPPER(TEXT(B31,"dddd"))</f>
        <v>MONDAY</v>
      </c>
      <c r="C30" s="6" t="str">
        <f t="shared" ref="C30:H30" ca="1" si="2">UPPER(TEXT(C31,"dddd"))</f>
        <v>TUESDAY</v>
      </c>
      <c r="D30" s="5" t="str">
        <f t="shared" ca="1" si="2"/>
        <v>WEDNESDAY</v>
      </c>
      <c r="E30" s="6" t="str">
        <f t="shared" ca="1" si="2"/>
        <v>THURSDAY</v>
      </c>
      <c r="F30" s="5" t="str">
        <f t="shared" ca="1" si="2"/>
        <v>FRIDAY</v>
      </c>
      <c r="G30" s="6" t="str">
        <f t="shared" ca="1" si="2"/>
        <v>SATURDAY</v>
      </c>
      <c r="H30" s="5" t="str">
        <f t="shared" ca="1" si="2"/>
        <v>SUNDAY</v>
      </c>
    </row>
    <row r="31" spans="1:8" ht="16.5" customHeight="1" thickTop="1" x14ac:dyDescent="0.35">
      <c r="B31" s="7">
        <f t="array" aca="1" ref="B31:H31" ca="1">Days+1+DATE(Calendar3Year,Calendar3MonthOption,1)-WEEKDAY(DATE(Calendar3Year,Calendar3MonthOption,1),WeekdayOption)</f>
        <v>44830</v>
      </c>
      <c r="C31" s="7">
        <f ca="1"/>
        <v>44831</v>
      </c>
      <c r="D31" s="7">
        <f ca="1"/>
        <v>44832</v>
      </c>
      <c r="E31" s="7">
        <f ca="1"/>
        <v>44833</v>
      </c>
      <c r="F31" s="7">
        <f ca="1"/>
        <v>44834</v>
      </c>
      <c r="G31" s="7">
        <f ca="1"/>
        <v>44835</v>
      </c>
      <c r="H31" s="8">
        <f ca="1"/>
        <v>44836</v>
      </c>
    </row>
    <row r="32" spans="1:8" ht="56.25" customHeight="1" x14ac:dyDescent="0.35">
      <c r="B32" s="9"/>
      <c r="C32" s="9"/>
      <c r="D32" s="9"/>
      <c r="E32" s="9"/>
      <c r="F32" s="9"/>
      <c r="G32" s="9"/>
      <c r="H32" s="10"/>
    </row>
    <row r="33" spans="1:8" ht="16.5" customHeight="1" x14ac:dyDescent="0.35">
      <c r="B33" s="7">
        <f t="array" aca="1" ref="B33:H33" ca="1">Days+8+DATE(Calendar3Year,Calendar3MonthOption,1)-WEEKDAY(DATE(Calendar3Year,Calendar3MonthOption,1),WeekdayOption)</f>
        <v>44837</v>
      </c>
      <c r="C33" s="7">
        <f ca="1"/>
        <v>44838</v>
      </c>
      <c r="D33" s="7">
        <f ca="1"/>
        <v>44839</v>
      </c>
      <c r="E33" s="7">
        <f ca="1"/>
        <v>44840</v>
      </c>
      <c r="F33" s="7">
        <f ca="1"/>
        <v>44841</v>
      </c>
      <c r="G33" s="7">
        <f ca="1"/>
        <v>44842</v>
      </c>
      <c r="H33" s="8">
        <f ca="1"/>
        <v>44843</v>
      </c>
    </row>
    <row r="34" spans="1:8" ht="56.25" customHeight="1" x14ac:dyDescent="0.35">
      <c r="B34" s="9"/>
      <c r="C34" s="9"/>
      <c r="D34" s="9"/>
      <c r="E34" s="9"/>
      <c r="F34" s="9"/>
      <c r="G34" s="9"/>
      <c r="H34" s="10"/>
    </row>
    <row r="35" spans="1:8" ht="16.5" customHeight="1" x14ac:dyDescent="0.35">
      <c r="B35" s="7">
        <f t="array" aca="1" ref="B35:H35" ca="1">Days+15+DATE(Calendar3Year,Calendar3MonthOption,1)-WEEKDAY(DATE(Calendar3Year,Calendar3MonthOption,1),WeekdayOption)</f>
        <v>44844</v>
      </c>
      <c r="C35" s="7">
        <f ca="1"/>
        <v>44845</v>
      </c>
      <c r="D35" s="7">
        <f ca="1"/>
        <v>44846</v>
      </c>
      <c r="E35" s="7">
        <f ca="1"/>
        <v>44847</v>
      </c>
      <c r="F35" s="7">
        <f ca="1"/>
        <v>44848</v>
      </c>
      <c r="G35" s="7">
        <f ca="1"/>
        <v>44849</v>
      </c>
      <c r="H35" s="8">
        <f ca="1"/>
        <v>44850</v>
      </c>
    </row>
    <row r="36" spans="1:8" ht="56.25" customHeight="1" x14ac:dyDescent="0.35">
      <c r="B36" s="9"/>
      <c r="C36" s="9"/>
      <c r="D36" s="9"/>
      <c r="E36" s="9"/>
      <c r="F36" s="9"/>
      <c r="G36" s="9"/>
      <c r="H36" s="10"/>
    </row>
    <row r="37" spans="1:8" ht="16.5" customHeight="1" x14ac:dyDescent="0.35">
      <c r="B37" s="7">
        <f t="array" aca="1" ref="B37:H37" ca="1">Days+22+DATE(Calendar3Year,Calendar3MonthOption,1)-WEEKDAY(DATE(Calendar3Year,Calendar3MonthOption,1),WeekdayOption)</f>
        <v>44851</v>
      </c>
      <c r="C37" s="7">
        <f ca="1"/>
        <v>44852</v>
      </c>
      <c r="D37" s="7">
        <f ca="1"/>
        <v>44853</v>
      </c>
      <c r="E37" s="7">
        <f ca="1"/>
        <v>44854</v>
      </c>
      <c r="F37" s="7">
        <f ca="1"/>
        <v>44855</v>
      </c>
      <c r="G37" s="7">
        <f ca="1"/>
        <v>44856</v>
      </c>
      <c r="H37" s="8">
        <f ca="1"/>
        <v>44857</v>
      </c>
    </row>
    <row r="38" spans="1:8" ht="56.25" customHeight="1" x14ac:dyDescent="0.35">
      <c r="B38" s="9"/>
      <c r="C38" s="9"/>
      <c r="D38" s="9"/>
      <c r="E38" s="9"/>
      <c r="F38" s="9"/>
      <c r="G38" s="9"/>
      <c r="H38" s="10"/>
    </row>
    <row r="39" spans="1:8" ht="16.5" customHeight="1" x14ac:dyDescent="0.35">
      <c r="B39" s="7">
        <f t="array" aca="1" ref="B39:H39" ca="1">Days+29+DATE(Calendar3Year,Calendar3MonthOption,1)-WEEKDAY(DATE(Calendar3Year,Calendar3MonthOption,1),WeekdayOption)</f>
        <v>44858</v>
      </c>
      <c r="C39" s="7">
        <f ca="1"/>
        <v>44859</v>
      </c>
      <c r="D39" s="7">
        <f ca="1"/>
        <v>44860</v>
      </c>
      <c r="E39" s="7">
        <f ca="1"/>
        <v>44861</v>
      </c>
      <c r="F39" s="7">
        <f ca="1"/>
        <v>44862</v>
      </c>
      <c r="G39" s="7">
        <f ca="1"/>
        <v>44863</v>
      </c>
      <c r="H39" s="8">
        <f ca="1"/>
        <v>44864</v>
      </c>
    </row>
    <row r="40" spans="1:8" ht="57" customHeight="1" x14ac:dyDescent="0.35">
      <c r="B40" s="9"/>
      <c r="C40" s="9"/>
      <c r="D40" s="9"/>
      <c r="E40" s="9"/>
      <c r="F40" s="9"/>
      <c r="G40" s="9"/>
      <c r="H40" s="12"/>
    </row>
    <row r="41" spans="1:8" ht="16.5" customHeight="1" x14ac:dyDescent="0.35">
      <c r="B41" s="7">
        <f t="array" aca="1" ref="B41:C41" ca="1">Days+36+DATE(Calendar3Year,Calendar3MonthOption,1)-WEEKDAY(DATE(Calendar3Year,Calendar3MonthOption,1),WeekdayOption)</f>
        <v>44865</v>
      </c>
      <c r="C41" s="7">
        <f ca="1"/>
        <v>44866</v>
      </c>
      <c r="D41" s="18" t="s">
        <v>2</v>
      </c>
      <c r="E41" s="18"/>
      <c r="F41" s="18"/>
      <c r="G41" s="18"/>
      <c r="H41" s="18"/>
    </row>
    <row r="42" spans="1:8" ht="63.75" customHeight="1" x14ac:dyDescent="0.35">
      <c r="B42" s="9"/>
      <c r="C42" s="9"/>
      <c r="D42" s="15"/>
      <c r="E42" s="15"/>
      <c r="F42" s="15"/>
      <c r="G42" s="15"/>
      <c r="H42" s="15"/>
    </row>
    <row r="43" spans="1:8" ht="54" customHeight="1" thickBot="1" x14ac:dyDescent="0.6">
      <c r="A43" s="1"/>
      <c r="B43" s="2">
        <f ca="1">YEAR(DATE(Calendar3Year,Calendar3MonthOption+1,1))</f>
        <v>2022</v>
      </c>
      <c r="C43" s="16" t="str">
        <f ca="1">TEXT(DATE(Calendar3Year,Calendar3MonthOption+1,1),"mmmm")</f>
        <v>November</v>
      </c>
      <c r="D43" s="16"/>
      <c r="E43" s="16"/>
      <c r="F43" s="1"/>
      <c r="G43" s="1"/>
      <c r="H43" s="1"/>
    </row>
    <row r="44" spans="1:8" ht="14.25" customHeight="1" thickTop="1" thickBot="1" x14ac:dyDescent="0.4">
      <c r="A44" s="4"/>
      <c r="B44" s="5" t="str">
        <f ca="1">UPPER(TEXT(B45,"dddd"))</f>
        <v>MONDAY</v>
      </c>
      <c r="C44" s="6" t="str">
        <f t="shared" ref="C44:H44" ca="1" si="3">UPPER(TEXT(C45,"dddd"))</f>
        <v>TUESDAY</v>
      </c>
      <c r="D44" s="5" t="str">
        <f t="shared" ca="1" si="3"/>
        <v>WEDNESDAY</v>
      </c>
      <c r="E44" s="6" t="str">
        <f t="shared" ca="1" si="3"/>
        <v>THURSDAY</v>
      </c>
      <c r="F44" s="5" t="str">
        <f t="shared" ca="1" si="3"/>
        <v>FRIDAY</v>
      </c>
      <c r="G44" s="6" t="str">
        <f t="shared" ca="1" si="3"/>
        <v>SATURDAY</v>
      </c>
      <c r="H44" s="5" t="str">
        <f t="shared" ca="1" si="3"/>
        <v>SUNDAY</v>
      </c>
    </row>
    <row r="45" spans="1:8" ht="16.5" customHeight="1" thickTop="1" x14ac:dyDescent="0.35">
      <c r="B45" s="7">
        <f t="array" aca="1" ref="B45:H45" ca="1">Days+1+DATE(Calendar4Year,Calendar4MonthOption,1)-WEEKDAY(DATE(Calendar4Year,Calendar4MonthOption,1),WeekdayOption)</f>
        <v>44865</v>
      </c>
      <c r="C45" s="7">
        <f ca="1"/>
        <v>44866</v>
      </c>
      <c r="D45" s="7">
        <f ca="1"/>
        <v>44867</v>
      </c>
      <c r="E45" s="7">
        <f ca="1"/>
        <v>44868</v>
      </c>
      <c r="F45" s="7">
        <f ca="1"/>
        <v>44869</v>
      </c>
      <c r="G45" s="7">
        <f ca="1"/>
        <v>44870</v>
      </c>
      <c r="H45" s="8">
        <f ca="1"/>
        <v>44871</v>
      </c>
    </row>
    <row r="46" spans="1:8" ht="56.25" customHeight="1" x14ac:dyDescent="0.35">
      <c r="B46" s="9"/>
      <c r="C46" s="9"/>
      <c r="D46" s="9"/>
      <c r="E46" s="9"/>
      <c r="F46" s="9"/>
      <c r="G46" s="9"/>
      <c r="H46" s="10"/>
    </row>
    <row r="47" spans="1:8" ht="16.5" customHeight="1" x14ac:dyDescent="0.35">
      <c r="B47" s="7">
        <f t="array" aca="1" ref="B47:H47" ca="1">Days+8+DATE(Calendar4Year,Calendar4MonthOption,1)-WEEKDAY(DATE(Calendar4Year,Calendar4MonthOption,1),WeekdayOption)</f>
        <v>44872</v>
      </c>
      <c r="C47" s="7">
        <f ca="1"/>
        <v>44873</v>
      </c>
      <c r="D47" s="7">
        <f ca="1"/>
        <v>44874</v>
      </c>
      <c r="E47" s="7">
        <f ca="1"/>
        <v>44875</v>
      </c>
      <c r="F47" s="7">
        <f ca="1"/>
        <v>44876</v>
      </c>
      <c r="G47" s="7">
        <f ca="1"/>
        <v>44877</v>
      </c>
      <c r="H47" s="8">
        <f ca="1"/>
        <v>44878</v>
      </c>
    </row>
    <row r="48" spans="1:8" ht="56.25" customHeight="1" x14ac:dyDescent="0.35">
      <c r="B48" s="9"/>
      <c r="C48" s="9"/>
      <c r="D48" s="9"/>
      <c r="E48" s="9"/>
      <c r="F48" s="9"/>
      <c r="G48" s="9"/>
      <c r="H48" s="10"/>
    </row>
    <row r="49" spans="1:8" ht="16.5" customHeight="1" x14ac:dyDescent="0.35">
      <c r="B49" s="7">
        <f t="array" aca="1" ref="B49:H49" ca="1">Days+15+DATE(Calendar4Year,Calendar4MonthOption,1)-WEEKDAY(DATE(Calendar4Year,Calendar4MonthOption,1),WeekdayOption)</f>
        <v>44879</v>
      </c>
      <c r="C49" s="7">
        <f ca="1"/>
        <v>44880</v>
      </c>
      <c r="D49" s="7">
        <f ca="1"/>
        <v>44881</v>
      </c>
      <c r="E49" s="7">
        <f ca="1"/>
        <v>44882</v>
      </c>
      <c r="F49" s="7">
        <f ca="1"/>
        <v>44883</v>
      </c>
      <c r="G49" s="7">
        <f ca="1"/>
        <v>44884</v>
      </c>
      <c r="H49" s="8">
        <f ca="1"/>
        <v>44885</v>
      </c>
    </row>
    <row r="50" spans="1:8" ht="56.25" customHeight="1" x14ac:dyDescent="0.35">
      <c r="B50" s="9"/>
      <c r="C50" s="9"/>
      <c r="D50" s="9"/>
      <c r="E50" s="9"/>
      <c r="F50" s="9"/>
      <c r="G50" s="9"/>
      <c r="H50" s="10"/>
    </row>
    <row r="51" spans="1:8" ht="16.5" customHeight="1" x14ac:dyDescent="0.35">
      <c r="B51" s="7">
        <f t="array" aca="1" ref="B51:H51" ca="1">Days+22+DATE(Calendar4Year,Calendar4MonthOption,1)-WEEKDAY(DATE(Calendar4Year,Calendar4MonthOption,1),WeekdayOption)</f>
        <v>44886</v>
      </c>
      <c r="C51" s="7">
        <f ca="1"/>
        <v>44887</v>
      </c>
      <c r="D51" s="7">
        <f ca="1"/>
        <v>44888</v>
      </c>
      <c r="E51" s="7">
        <f ca="1"/>
        <v>44889</v>
      </c>
      <c r="F51" s="7">
        <f ca="1"/>
        <v>44890</v>
      </c>
      <c r="G51" s="7">
        <f ca="1"/>
        <v>44891</v>
      </c>
      <c r="H51" s="8">
        <f ca="1"/>
        <v>44892</v>
      </c>
    </row>
    <row r="52" spans="1:8" ht="56.25" customHeight="1" x14ac:dyDescent="0.35">
      <c r="B52" s="9"/>
      <c r="C52" s="9"/>
      <c r="D52" s="9"/>
      <c r="E52" s="9"/>
      <c r="F52" s="9"/>
      <c r="G52" s="9"/>
      <c r="H52" s="10"/>
    </row>
    <row r="53" spans="1:8" ht="16.5" customHeight="1" x14ac:dyDescent="0.35">
      <c r="B53" s="7">
        <f t="array" aca="1" ref="B53:H53" ca="1">Days+29+DATE(Calendar4Year,Calendar4MonthOption,1)-WEEKDAY(DATE(Calendar4Year,Calendar4MonthOption,1),WeekdayOption)</f>
        <v>44893</v>
      </c>
      <c r="C53" s="7">
        <f ca="1"/>
        <v>44894</v>
      </c>
      <c r="D53" s="7">
        <f ca="1"/>
        <v>44895</v>
      </c>
      <c r="E53" s="7">
        <f ca="1"/>
        <v>44896</v>
      </c>
      <c r="F53" s="7">
        <f ca="1"/>
        <v>44897</v>
      </c>
      <c r="G53" s="7">
        <f ca="1"/>
        <v>44898</v>
      </c>
      <c r="H53" s="8">
        <f ca="1"/>
        <v>44899</v>
      </c>
    </row>
    <row r="54" spans="1:8" ht="57" customHeight="1" x14ac:dyDescent="0.35">
      <c r="B54" s="9"/>
      <c r="C54" s="9"/>
      <c r="D54" s="9"/>
      <c r="E54" s="9"/>
      <c r="F54" s="9"/>
      <c r="G54" s="9"/>
      <c r="H54" s="12"/>
    </row>
    <row r="55" spans="1:8" ht="16.5" customHeight="1" x14ac:dyDescent="0.35">
      <c r="B55" s="7">
        <f t="array" aca="1" ref="B55:C55" ca="1">Days+36+DATE(Calendar4Year,Calendar4MonthOption,1)-WEEKDAY(DATE(Calendar4Year,Calendar4MonthOption,1),WeekdayOption)</f>
        <v>44900</v>
      </c>
      <c r="C55" s="7">
        <f ca="1"/>
        <v>44901</v>
      </c>
      <c r="D55" s="19" t="s">
        <v>2</v>
      </c>
      <c r="E55" s="18"/>
      <c r="F55" s="18"/>
      <c r="G55" s="18"/>
      <c r="H55" s="18"/>
    </row>
    <row r="56" spans="1:8" ht="63.75" customHeight="1" x14ac:dyDescent="0.35">
      <c r="B56" s="9"/>
      <c r="C56" s="9"/>
      <c r="D56" s="15"/>
      <c r="E56" s="15"/>
      <c r="F56" s="15"/>
      <c r="G56" s="15"/>
      <c r="H56" s="15"/>
    </row>
    <row r="57" spans="1:8" ht="54" customHeight="1" thickBot="1" x14ac:dyDescent="0.6">
      <c r="A57" s="1"/>
      <c r="B57" s="2"/>
      <c r="C57" s="16"/>
      <c r="D57" s="16"/>
      <c r="E57" s="16"/>
      <c r="F57" s="1"/>
      <c r="G57" s="1"/>
      <c r="H57" s="1"/>
    </row>
    <row r="58" spans="1:8" ht="14.25" customHeight="1" thickTop="1" thickBot="1" x14ac:dyDescent="0.4">
      <c r="A58" s="4"/>
      <c r="B58" s="5"/>
      <c r="C58" s="6"/>
      <c r="D58" s="5"/>
      <c r="E58" s="6"/>
      <c r="F58" s="5"/>
      <c r="G58" s="6"/>
      <c r="H58" s="5"/>
    </row>
    <row r="59" spans="1:8" ht="16.5" customHeight="1" thickTop="1" x14ac:dyDescent="0.35">
      <c r="B59" s="7"/>
      <c r="C59" s="7"/>
      <c r="D59" s="7"/>
      <c r="E59" s="7"/>
      <c r="F59" s="7"/>
      <c r="G59" s="7"/>
      <c r="H59" s="8"/>
    </row>
    <row r="60" spans="1:8" ht="56.25" customHeight="1" x14ac:dyDescent="0.35">
      <c r="B60" s="9"/>
      <c r="C60" s="9"/>
      <c r="D60" s="9"/>
      <c r="E60" s="9"/>
      <c r="F60" s="9"/>
      <c r="G60" s="9"/>
      <c r="H60" s="10"/>
    </row>
    <row r="61" spans="1:8" ht="16.5" customHeight="1" x14ac:dyDescent="0.35">
      <c r="B61" s="7"/>
      <c r="C61" s="7"/>
      <c r="D61" s="7"/>
      <c r="E61" s="7"/>
      <c r="F61" s="7"/>
      <c r="G61" s="7"/>
      <c r="H61" s="8"/>
    </row>
    <row r="62" spans="1:8" ht="56.25" customHeight="1" x14ac:dyDescent="0.35">
      <c r="B62" s="9"/>
      <c r="C62" s="9"/>
      <c r="D62" s="9"/>
      <c r="E62" s="9"/>
      <c r="F62" s="9"/>
      <c r="G62" s="9"/>
      <c r="H62" s="10"/>
    </row>
    <row r="63" spans="1:8" ht="16.5" customHeight="1" x14ac:dyDescent="0.35">
      <c r="B63" s="7"/>
      <c r="C63" s="7"/>
      <c r="D63" s="7"/>
      <c r="E63" s="7"/>
      <c r="F63" s="7"/>
      <c r="G63" s="7"/>
      <c r="H63" s="8"/>
    </row>
    <row r="64" spans="1:8" ht="56.25" customHeight="1" x14ac:dyDescent="0.35">
      <c r="B64" s="9"/>
      <c r="C64" s="9"/>
      <c r="D64" s="9"/>
      <c r="E64" s="9"/>
      <c r="F64" s="9"/>
      <c r="G64" s="9"/>
      <c r="H64" s="10"/>
    </row>
    <row r="65" spans="1:8" ht="16.5" customHeight="1" x14ac:dyDescent="0.35">
      <c r="B65" s="7"/>
      <c r="C65" s="7"/>
      <c r="D65" s="7"/>
      <c r="E65" s="7"/>
      <c r="F65" s="7"/>
      <c r="G65" s="7"/>
      <c r="H65" s="8"/>
    </row>
    <row r="66" spans="1:8" ht="56.25" customHeight="1" x14ac:dyDescent="0.35">
      <c r="B66" s="9"/>
      <c r="C66" s="9"/>
      <c r="D66" s="9"/>
      <c r="E66" s="9"/>
      <c r="F66" s="9"/>
      <c r="G66" s="9"/>
      <c r="H66" s="10"/>
    </row>
    <row r="67" spans="1:8" ht="16.5" customHeight="1" x14ac:dyDescent="0.35">
      <c r="B67" s="7"/>
      <c r="C67" s="7"/>
      <c r="D67" s="7"/>
      <c r="E67" s="7"/>
      <c r="F67" s="7"/>
      <c r="G67" s="7"/>
      <c r="H67" s="8"/>
    </row>
    <row r="68" spans="1:8" ht="57" customHeight="1" x14ac:dyDescent="0.35">
      <c r="B68" s="9"/>
      <c r="C68" s="9"/>
      <c r="D68" s="9"/>
      <c r="E68" s="9"/>
      <c r="F68" s="9"/>
      <c r="G68" s="9"/>
      <c r="H68" s="12"/>
    </row>
    <row r="69" spans="1:8" ht="16.5" customHeight="1" x14ac:dyDescent="0.35">
      <c r="B69" s="7"/>
      <c r="C69" s="7"/>
      <c r="D69" s="19"/>
      <c r="E69" s="18"/>
      <c r="F69" s="18"/>
      <c r="G69" s="18"/>
      <c r="H69" s="18"/>
    </row>
    <row r="70" spans="1:8" ht="63.75" customHeight="1" x14ac:dyDescent="0.35">
      <c r="B70" s="9"/>
      <c r="C70" s="9"/>
      <c r="D70" s="15"/>
      <c r="E70" s="15"/>
      <c r="F70" s="15"/>
      <c r="G70" s="15"/>
      <c r="H70" s="15"/>
    </row>
    <row r="71" spans="1:8" ht="54" customHeight="1" thickBot="1" x14ac:dyDescent="0.6">
      <c r="A71" s="1"/>
      <c r="B71" s="2"/>
      <c r="C71" s="16"/>
      <c r="D71" s="16"/>
      <c r="E71" s="16"/>
      <c r="F71" s="1"/>
      <c r="G71" s="1"/>
      <c r="H71" s="1"/>
    </row>
    <row r="72" spans="1:8" ht="14.25" customHeight="1" thickTop="1" thickBot="1" x14ac:dyDescent="0.4">
      <c r="A72" s="4"/>
      <c r="B72" s="5"/>
      <c r="C72" s="6"/>
      <c r="D72" s="5"/>
      <c r="E72" s="6"/>
      <c r="F72" s="5"/>
      <c r="G72" s="6"/>
      <c r="H72" s="5"/>
    </row>
    <row r="73" spans="1:8" ht="16.5" customHeight="1" thickTop="1" x14ac:dyDescent="0.35">
      <c r="B73" s="7"/>
      <c r="C73" s="7"/>
      <c r="D73" s="7"/>
      <c r="E73" s="7"/>
      <c r="F73" s="7"/>
      <c r="G73" s="7"/>
      <c r="H73" s="8"/>
    </row>
    <row r="74" spans="1:8" ht="56.25" customHeight="1" x14ac:dyDescent="0.35">
      <c r="B74" s="9"/>
      <c r="C74" s="9"/>
      <c r="D74" s="9"/>
      <c r="E74" s="9"/>
      <c r="F74" s="9"/>
      <c r="G74" s="9"/>
      <c r="H74" s="10"/>
    </row>
    <row r="75" spans="1:8" ht="16.5" customHeight="1" x14ac:dyDescent="0.35">
      <c r="B75" s="7"/>
      <c r="C75" s="7"/>
      <c r="D75" s="7"/>
      <c r="E75" s="7"/>
      <c r="F75" s="7"/>
      <c r="G75" s="7"/>
      <c r="H75" s="8"/>
    </row>
    <row r="76" spans="1:8" ht="56.25" customHeight="1" x14ac:dyDescent="0.35">
      <c r="B76" s="9"/>
      <c r="C76" s="9"/>
      <c r="D76" s="9"/>
      <c r="E76" s="9"/>
      <c r="F76" s="9"/>
      <c r="G76" s="9"/>
      <c r="H76" s="10"/>
    </row>
    <row r="77" spans="1:8" ht="16.5" customHeight="1" x14ac:dyDescent="0.35">
      <c r="B77" s="7"/>
      <c r="C77" s="7"/>
      <c r="D77" s="7"/>
      <c r="E77" s="7"/>
      <c r="F77" s="7"/>
      <c r="G77" s="7"/>
      <c r="H77" s="8"/>
    </row>
    <row r="78" spans="1:8" ht="56.25" customHeight="1" x14ac:dyDescent="0.35">
      <c r="B78" s="9"/>
      <c r="C78" s="9"/>
      <c r="D78" s="9"/>
      <c r="E78" s="9"/>
      <c r="F78" s="9"/>
      <c r="G78" s="9"/>
      <c r="H78" s="10"/>
    </row>
    <row r="79" spans="1:8" ht="16.5" customHeight="1" x14ac:dyDescent="0.35">
      <c r="B79" s="7"/>
      <c r="C79" s="7"/>
      <c r="D79" s="7"/>
      <c r="E79" s="7"/>
      <c r="F79" s="7"/>
      <c r="G79" s="7"/>
      <c r="H79" s="8"/>
    </row>
    <row r="80" spans="1:8" ht="56.25" customHeight="1" x14ac:dyDescent="0.35">
      <c r="B80" s="9"/>
      <c r="C80" s="9"/>
      <c r="D80" s="9"/>
      <c r="E80" s="9"/>
      <c r="F80" s="9"/>
      <c r="G80" s="9"/>
      <c r="H80" s="10"/>
    </row>
    <row r="81" spans="1:8" ht="16.5" customHeight="1" x14ac:dyDescent="0.35">
      <c r="B81" s="7"/>
      <c r="C81" s="7"/>
      <c r="D81" s="7"/>
      <c r="E81" s="7"/>
      <c r="F81" s="7"/>
      <c r="G81" s="7"/>
      <c r="H81" s="8"/>
    </row>
    <row r="82" spans="1:8" ht="57" customHeight="1" x14ac:dyDescent="0.35">
      <c r="B82" s="9"/>
      <c r="C82" s="9"/>
      <c r="D82" s="9"/>
      <c r="E82" s="9"/>
      <c r="F82" s="9"/>
      <c r="G82" s="9"/>
      <c r="H82" s="12"/>
    </row>
    <row r="83" spans="1:8" ht="16.5" customHeight="1" x14ac:dyDescent="0.35">
      <c r="B83" s="7"/>
      <c r="C83" s="7"/>
      <c r="D83" s="19"/>
      <c r="E83" s="18"/>
      <c r="F83" s="18"/>
      <c r="G83" s="18"/>
      <c r="H83" s="18"/>
    </row>
    <row r="84" spans="1:8" ht="63.75" customHeight="1" x14ac:dyDescent="0.35">
      <c r="B84" s="9"/>
      <c r="C84" s="9"/>
      <c r="D84" s="15"/>
      <c r="E84" s="15"/>
      <c r="F84" s="15"/>
      <c r="G84" s="15"/>
      <c r="H84" s="15"/>
    </row>
    <row r="85" spans="1:8" ht="54" customHeight="1" thickBot="1" x14ac:dyDescent="0.6">
      <c r="A85" s="1"/>
      <c r="B85" s="2"/>
      <c r="C85" s="16"/>
      <c r="D85" s="16"/>
      <c r="E85" s="16"/>
      <c r="F85" s="1"/>
      <c r="G85" s="1"/>
      <c r="H85" s="1"/>
    </row>
    <row r="86" spans="1:8" ht="14.25" customHeight="1" thickTop="1" thickBot="1" x14ac:dyDescent="0.4">
      <c r="A86" s="4"/>
      <c r="B86" s="5"/>
      <c r="C86" s="6"/>
      <c r="D86" s="5"/>
      <c r="E86" s="6"/>
      <c r="F86" s="5"/>
      <c r="G86" s="6"/>
      <c r="H86" s="5"/>
    </row>
    <row r="87" spans="1:8" ht="16.5" customHeight="1" thickTop="1" x14ac:dyDescent="0.35">
      <c r="B87" s="7"/>
      <c r="C87" s="7"/>
      <c r="D87" s="7"/>
      <c r="E87" s="7"/>
      <c r="F87" s="7"/>
      <c r="G87" s="7"/>
      <c r="H87" s="8"/>
    </row>
    <row r="88" spans="1:8" ht="56.25" customHeight="1" x14ac:dyDescent="0.35">
      <c r="B88" s="9"/>
      <c r="C88" s="9"/>
      <c r="D88" s="9"/>
      <c r="E88" s="9"/>
      <c r="F88" s="9"/>
      <c r="G88" s="9"/>
      <c r="H88" s="10"/>
    </row>
    <row r="89" spans="1:8" ht="16.5" customHeight="1" x14ac:dyDescent="0.35">
      <c r="B89" s="7"/>
      <c r="C89" s="7"/>
      <c r="D89" s="7"/>
      <c r="E89" s="7"/>
      <c r="F89" s="7"/>
      <c r="G89" s="7"/>
      <c r="H89" s="8"/>
    </row>
    <row r="90" spans="1:8" ht="56.25" customHeight="1" x14ac:dyDescent="0.35">
      <c r="B90" s="9"/>
      <c r="C90" s="9"/>
      <c r="D90" s="9"/>
      <c r="E90" s="9"/>
      <c r="F90" s="9"/>
      <c r="G90" s="9"/>
      <c r="H90" s="10"/>
    </row>
    <row r="91" spans="1:8" ht="16.5" customHeight="1" x14ac:dyDescent="0.35">
      <c r="B91" s="7"/>
      <c r="C91" s="7"/>
      <c r="D91" s="7"/>
      <c r="E91" s="7"/>
      <c r="F91" s="7"/>
      <c r="G91" s="7"/>
      <c r="H91" s="8"/>
    </row>
    <row r="92" spans="1:8" ht="56.25" customHeight="1" x14ac:dyDescent="0.35">
      <c r="B92" s="9"/>
      <c r="C92" s="9"/>
      <c r="D92" s="9"/>
      <c r="E92" s="9"/>
      <c r="F92" s="9"/>
      <c r="G92" s="9"/>
      <c r="H92" s="10"/>
    </row>
    <row r="93" spans="1:8" ht="16.5" customHeight="1" x14ac:dyDescent="0.35">
      <c r="B93" s="7"/>
      <c r="C93" s="7"/>
      <c r="D93" s="7"/>
      <c r="E93" s="7"/>
      <c r="F93" s="7"/>
      <c r="G93" s="7"/>
      <c r="H93" s="8"/>
    </row>
    <row r="94" spans="1:8" ht="56.25" customHeight="1" x14ac:dyDescent="0.35">
      <c r="B94" s="9"/>
      <c r="C94" s="9"/>
      <c r="D94" s="9"/>
      <c r="E94" s="9"/>
      <c r="F94" s="9"/>
      <c r="G94" s="9"/>
      <c r="H94" s="10"/>
    </row>
    <row r="95" spans="1:8" ht="16.5" customHeight="1" x14ac:dyDescent="0.35">
      <c r="B95" s="7"/>
      <c r="C95" s="7"/>
      <c r="D95" s="7"/>
      <c r="E95" s="7"/>
      <c r="F95" s="7"/>
      <c r="G95" s="7"/>
      <c r="H95" s="8"/>
    </row>
    <row r="96" spans="1:8" ht="57" customHeight="1" x14ac:dyDescent="0.35">
      <c r="B96" s="9"/>
      <c r="C96" s="9"/>
      <c r="D96" s="9"/>
      <c r="E96" s="9"/>
      <c r="F96" s="9"/>
      <c r="G96" s="9"/>
      <c r="H96" s="12"/>
    </row>
    <row r="97" spans="1:8" ht="16.5" customHeight="1" x14ac:dyDescent="0.35">
      <c r="B97" s="7"/>
      <c r="C97" s="7"/>
      <c r="D97" s="19"/>
      <c r="E97" s="18"/>
      <c r="F97" s="18"/>
      <c r="G97" s="18"/>
      <c r="H97" s="18"/>
    </row>
    <row r="98" spans="1:8" ht="63.75" customHeight="1" x14ac:dyDescent="0.35">
      <c r="B98" s="9"/>
      <c r="C98" s="9"/>
      <c r="D98" s="15"/>
      <c r="E98" s="15"/>
      <c r="F98" s="15"/>
      <c r="G98" s="15"/>
      <c r="H98" s="15"/>
    </row>
    <row r="99" spans="1:8" ht="54" customHeight="1" thickBot="1" x14ac:dyDescent="0.6">
      <c r="A99" s="1"/>
      <c r="B99" s="2"/>
      <c r="C99" s="16"/>
      <c r="D99" s="16"/>
      <c r="E99" s="16"/>
      <c r="F99" s="1"/>
      <c r="G99" s="1"/>
      <c r="H99" s="1"/>
    </row>
    <row r="100" spans="1:8" ht="14.25" customHeight="1" thickTop="1" thickBot="1" x14ac:dyDescent="0.4">
      <c r="A100" s="4"/>
      <c r="B100" s="5"/>
      <c r="C100" s="6"/>
      <c r="D100" s="5"/>
      <c r="E100" s="6"/>
      <c r="F100" s="5"/>
      <c r="G100" s="6"/>
      <c r="H100" s="5"/>
    </row>
    <row r="101" spans="1:8" ht="16.5" customHeight="1" thickTop="1" x14ac:dyDescent="0.35">
      <c r="B101" s="7"/>
      <c r="C101" s="7"/>
      <c r="D101" s="7"/>
      <c r="E101" s="7"/>
      <c r="F101" s="7"/>
      <c r="G101" s="7"/>
      <c r="H101" s="8"/>
    </row>
    <row r="102" spans="1:8" ht="56.25" customHeight="1" x14ac:dyDescent="0.35">
      <c r="B102" s="9"/>
      <c r="C102" s="9"/>
      <c r="D102" s="9"/>
      <c r="E102" s="9"/>
      <c r="F102" s="9"/>
      <c r="G102" s="9"/>
      <c r="H102" s="10"/>
    </row>
    <row r="103" spans="1:8" ht="16.5" customHeight="1" x14ac:dyDescent="0.35">
      <c r="B103" s="7"/>
      <c r="C103" s="7"/>
      <c r="D103" s="7"/>
      <c r="E103" s="7"/>
      <c r="F103" s="7"/>
      <c r="G103" s="7"/>
      <c r="H103" s="8"/>
    </row>
    <row r="104" spans="1:8" ht="56.25" customHeight="1" x14ac:dyDescent="0.35">
      <c r="B104" s="9"/>
      <c r="C104" s="9"/>
      <c r="D104" s="9"/>
      <c r="E104" s="9"/>
      <c r="F104" s="9"/>
      <c r="G104" s="9"/>
      <c r="H104" s="10"/>
    </row>
    <row r="105" spans="1:8" ht="16.5" customHeight="1" x14ac:dyDescent="0.35">
      <c r="B105" s="7"/>
      <c r="C105" s="7"/>
      <c r="D105" s="7"/>
      <c r="E105" s="7"/>
      <c r="F105" s="7"/>
      <c r="G105" s="7"/>
      <c r="H105" s="8"/>
    </row>
    <row r="106" spans="1:8" ht="56.25" customHeight="1" x14ac:dyDescent="0.35">
      <c r="B106" s="9"/>
      <c r="C106" s="9"/>
      <c r="D106" s="9"/>
      <c r="E106" s="9"/>
      <c r="F106" s="9"/>
      <c r="G106" s="9"/>
      <c r="H106" s="10"/>
    </row>
    <row r="107" spans="1:8" ht="16.5" customHeight="1" x14ac:dyDescent="0.35">
      <c r="B107" s="7"/>
      <c r="C107" s="7"/>
      <c r="D107" s="7"/>
      <c r="E107" s="7"/>
      <c r="F107" s="7"/>
      <c r="G107" s="7"/>
      <c r="H107" s="8"/>
    </row>
    <row r="108" spans="1:8" ht="56.25" customHeight="1" x14ac:dyDescent="0.35">
      <c r="B108" s="9"/>
      <c r="C108" s="9"/>
      <c r="D108" s="9"/>
      <c r="E108" s="9"/>
      <c r="F108" s="9"/>
      <c r="G108" s="9"/>
      <c r="H108" s="10"/>
    </row>
    <row r="109" spans="1:8" ht="16.5" customHeight="1" x14ac:dyDescent="0.35">
      <c r="B109" s="7"/>
      <c r="C109" s="7"/>
      <c r="D109" s="7"/>
      <c r="E109" s="7"/>
      <c r="F109" s="7"/>
      <c r="G109" s="7"/>
      <c r="H109" s="8"/>
    </row>
    <row r="110" spans="1:8" ht="57" customHeight="1" x14ac:dyDescent="0.35">
      <c r="B110" s="9"/>
      <c r="C110" s="9"/>
      <c r="D110" s="9"/>
      <c r="E110" s="9"/>
      <c r="F110" s="9"/>
      <c r="G110" s="9"/>
      <c r="H110" s="12"/>
    </row>
    <row r="111" spans="1:8" ht="16.5" customHeight="1" x14ac:dyDescent="0.35">
      <c r="B111" s="7"/>
      <c r="C111" s="7"/>
      <c r="D111" s="19"/>
      <c r="E111" s="18"/>
      <c r="F111" s="18"/>
      <c r="G111" s="18"/>
      <c r="H111" s="18"/>
    </row>
    <row r="112" spans="1:8" ht="63.75" customHeight="1" x14ac:dyDescent="0.35">
      <c r="B112" s="9"/>
      <c r="C112" s="9"/>
      <c r="D112" s="15"/>
      <c r="E112" s="15"/>
      <c r="F112" s="15"/>
      <c r="G112" s="15"/>
      <c r="H112" s="15"/>
    </row>
    <row r="113" spans="1:8" ht="54" customHeight="1" thickBot="1" x14ac:dyDescent="0.6">
      <c r="A113" s="1"/>
      <c r="B113" s="2"/>
      <c r="C113" s="16"/>
      <c r="D113" s="16"/>
      <c r="E113" s="16"/>
      <c r="F113" s="1"/>
      <c r="G113" s="1"/>
      <c r="H113" s="1"/>
    </row>
    <row r="114" spans="1:8" ht="14.25" customHeight="1" thickTop="1" thickBot="1" x14ac:dyDescent="0.4">
      <c r="A114" s="4"/>
      <c r="B114" s="5"/>
      <c r="C114" s="6"/>
      <c r="D114" s="5"/>
      <c r="E114" s="6"/>
      <c r="F114" s="5"/>
      <c r="G114" s="6"/>
      <c r="H114" s="5"/>
    </row>
    <row r="115" spans="1:8" ht="16.5" customHeight="1" thickTop="1" x14ac:dyDescent="0.35">
      <c r="B115" s="7"/>
      <c r="C115" s="7"/>
      <c r="D115" s="7"/>
      <c r="E115" s="7"/>
      <c r="F115" s="7"/>
      <c r="G115" s="7"/>
      <c r="H115" s="8"/>
    </row>
    <row r="116" spans="1:8" ht="56.25" customHeight="1" x14ac:dyDescent="0.35">
      <c r="B116" s="9"/>
      <c r="C116" s="9"/>
      <c r="D116" s="9"/>
      <c r="E116" s="9"/>
      <c r="F116" s="9"/>
      <c r="G116" s="9"/>
      <c r="H116" s="10"/>
    </row>
    <row r="117" spans="1:8" ht="16.5" customHeight="1" x14ac:dyDescent="0.35">
      <c r="B117" s="7"/>
      <c r="C117" s="7"/>
      <c r="D117" s="7"/>
      <c r="E117" s="7"/>
      <c r="F117" s="7"/>
      <c r="G117" s="7"/>
      <c r="H117" s="8"/>
    </row>
    <row r="118" spans="1:8" ht="56.25" customHeight="1" x14ac:dyDescent="0.35">
      <c r="B118" s="9"/>
      <c r="C118" s="9"/>
      <c r="D118" s="9"/>
      <c r="E118" s="9"/>
      <c r="F118" s="9"/>
      <c r="G118" s="9"/>
      <c r="H118" s="10"/>
    </row>
    <row r="119" spans="1:8" ht="16.5" customHeight="1" x14ac:dyDescent="0.35">
      <c r="B119" s="7"/>
      <c r="C119" s="7"/>
      <c r="D119" s="7"/>
      <c r="E119" s="7"/>
      <c r="F119" s="7"/>
      <c r="G119" s="7"/>
      <c r="H119" s="8"/>
    </row>
    <row r="120" spans="1:8" ht="56.25" customHeight="1" x14ac:dyDescent="0.35">
      <c r="B120" s="9"/>
      <c r="C120" s="9"/>
      <c r="D120" s="9"/>
      <c r="E120" s="9"/>
      <c r="F120" s="9"/>
      <c r="G120" s="9"/>
      <c r="H120" s="10"/>
    </row>
    <row r="121" spans="1:8" ht="16.5" customHeight="1" x14ac:dyDescent="0.35">
      <c r="B121" s="7"/>
      <c r="C121" s="7"/>
      <c r="D121" s="7"/>
      <c r="E121" s="7"/>
      <c r="F121" s="7"/>
      <c r="G121" s="7"/>
      <c r="H121" s="8"/>
    </row>
    <row r="122" spans="1:8" ht="56.25" customHeight="1" x14ac:dyDescent="0.35">
      <c r="B122" s="9"/>
      <c r="C122" s="9"/>
      <c r="D122" s="9"/>
      <c r="E122" s="9"/>
      <c r="F122" s="9"/>
      <c r="G122" s="9"/>
      <c r="H122" s="10"/>
    </row>
    <row r="123" spans="1:8" ht="16.5" customHeight="1" x14ac:dyDescent="0.35">
      <c r="B123" s="7"/>
      <c r="C123" s="7"/>
      <c r="D123" s="7"/>
      <c r="E123" s="7"/>
      <c r="F123" s="7"/>
      <c r="G123" s="7"/>
      <c r="H123" s="8"/>
    </row>
    <row r="124" spans="1:8" ht="57" customHeight="1" x14ac:dyDescent="0.35">
      <c r="B124" s="9"/>
      <c r="C124" s="9"/>
      <c r="D124" s="9"/>
      <c r="E124" s="9"/>
      <c r="F124" s="9"/>
      <c r="G124" s="9"/>
      <c r="H124" s="12"/>
    </row>
    <row r="125" spans="1:8" ht="16.5" customHeight="1" x14ac:dyDescent="0.35">
      <c r="B125" s="7"/>
      <c r="C125" s="7"/>
      <c r="D125" s="19"/>
      <c r="E125" s="18"/>
      <c r="F125" s="18"/>
      <c r="G125" s="18"/>
      <c r="H125" s="18"/>
    </row>
    <row r="126" spans="1:8" ht="63.75" customHeight="1" x14ac:dyDescent="0.35">
      <c r="B126" s="9"/>
      <c r="C126" s="9"/>
      <c r="D126" s="15"/>
      <c r="E126" s="15"/>
      <c r="F126" s="15"/>
      <c r="G126" s="15"/>
      <c r="H126" s="15"/>
    </row>
    <row r="127" spans="1:8" ht="54" customHeight="1" thickBot="1" x14ac:dyDescent="0.6">
      <c r="A127" s="1"/>
      <c r="B127" s="2"/>
      <c r="C127" s="16"/>
      <c r="D127" s="16"/>
      <c r="E127" s="16"/>
      <c r="F127" s="1"/>
      <c r="G127" s="1"/>
      <c r="H127" s="1"/>
    </row>
    <row r="128" spans="1:8" ht="14.25" customHeight="1" thickTop="1" thickBot="1" x14ac:dyDescent="0.4">
      <c r="A128" s="4"/>
      <c r="B128" s="5"/>
      <c r="C128" s="6"/>
      <c r="D128" s="5"/>
      <c r="E128" s="6"/>
      <c r="F128" s="5"/>
      <c r="G128" s="6"/>
      <c r="H128" s="5"/>
    </row>
    <row r="129" spans="2:8" ht="16.5" customHeight="1" thickTop="1" x14ac:dyDescent="0.35">
      <c r="B129" s="7"/>
      <c r="C129" s="7"/>
      <c r="D129" s="7"/>
      <c r="E129" s="7"/>
      <c r="F129" s="7"/>
      <c r="G129" s="7"/>
      <c r="H129" s="8"/>
    </row>
    <row r="130" spans="2:8" ht="56.25" customHeight="1" x14ac:dyDescent="0.35">
      <c r="B130" s="9"/>
      <c r="C130" s="9"/>
      <c r="D130" s="9"/>
      <c r="E130" s="9"/>
      <c r="F130" s="9"/>
      <c r="G130" s="9"/>
      <c r="H130" s="10"/>
    </row>
    <row r="131" spans="2:8" ht="16.5" customHeight="1" x14ac:dyDescent="0.35">
      <c r="B131" s="7"/>
      <c r="C131" s="7"/>
      <c r="D131" s="7"/>
      <c r="E131" s="7"/>
      <c r="F131" s="7"/>
      <c r="G131" s="7"/>
      <c r="H131" s="8"/>
    </row>
    <row r="132" spans="2:8" ht="56.25" customHeight="1" x14ac:dyDescent="0.35">
      <c r="B132" s="9"/>
      <c r="C132" s="9"/>
      <c r="D132" s="9"/>
      <c r="E132" s="9"/>
      <c r="F132" s="9"/>
      <c r="G132" s="9"/>
      <c r="H132" s="10"/>
    </row>
    <row r="133" spans="2:8" ht="16.5" customHeight="1" x14ac:dyDescent="0.35">
      <c r="B133" s="7"/>
      <c r="C133" s="7"/>
      <c r="D133" s="7"/>
      <c r="E133" s="7"/>
      <c r="F133" s="7"/>
      <c r="G133" s="7"/>
      <c r="H133" s="8"/>
    </row>
    <row r="134" spans="2:8" ht="56.25" customHeight="1" x14ac:dyDescent="0.35">
      <c r="B134" s="9"/>
      <c r="C134" s="9"/>
      <c r="D134" s="9"/>
      <c r="E134" s="9"/>
      <c r="F134" s="9"/>
      <c r="G134" s="9"/>
      <c r="H134" s="10"/>
    </row>
    <row r="135" spans="2:8" ht="16.5" customHeight="1" x14ac:dyDescent="0.35">
      <c r="B135" s="7"/>
      <c r="C135" s="7"/>
      <c r="D135" s="7"/>
      <c r="E135" s="7"/>
      <c r="F135" s="7"/>
      <c r="G135" s="7"/>
      <c r="H135" s="8"/>
    </row>
    <row r="136" spans="2:8" ht="56.25" customHeight="1" x14ac:dyDescent="0.35">
      <c r="B136" s="9"/>
      <c r="C136" s="9"/>
      <c r="D136" s="9"/>
      <c r="E136" s="9"/>
      <c r="F136" s="9"/>
      <c r="G136" s="9"/>
      <c r="H136" s="10"/>
    </row>
    <row r="137" spans="2:8" ht="16.5" customHeight="1" x14ac:dyDescent="0.35">
      <c r="B137" s="7"/>
      <c r="C137" s="7"/>
      <c r="D137" s="7"/>
      <c r="E137" s="7"/>
      <c r="F137" s="7"/>
      <c r="G137" s="7"/>
      <c r="H137" s="8"/>
    </row>
    <row r="138" spans="2:8" ht="57" customHeight="1" x14ac:dyDescent="0.35">
      <c r="B138" s="9"/>
      <c r="C138" s="9"/>
      <c r="D138" s="9"/>
      <c r="E138" s="9"/>
      <c r="F138" s="9"/>
      <c r="G138" s="9"/>
      <c r="H138" s="12"/>
    </row>
    <row r="139" spans="2:8" ht="16.5" customHeight="1" x14ac:dyDescent="0.35">
      <c r="B139" s="7"/>
      <c r="C139" s="7"/>
      <c r="D139" s="19"/>
      <c r="E139" s="18"/>
      <c r="F139" s="18"/>
      <c r="G139" s="18"/>
      <c r="H139" s="18"/>
    </row>
    <row r="140" spans="2:8" ht="63.75" customHeight="1" x14ac:dyDescent="0.35">
      <c r="B140" s="9"/>
      <c r="C140" s="9"/>
      <c r="D140" s="15"/>
      <c r="E140" s="15"/>
      <c r="F140" s="15"/>
      <c r="G140" s="15"/>
      <c r="H140" s="15"/>
    </row>
    <row r="141" spans="2:8" ht="54" customHeight="1" thickBot="1" x14ac:dyDescent="0.6">
      <c r="B141" s="2"/>
      <c r="C141" s="16"/>
      <c r="D141" s="16"/>
      <c r="E141" s="16"/>
      <c r="F141" s="1"/>
      <c r="G141" s="1"/>
      <c r="H141" s="1"/>
    </row>
    <row r="142" spans="2:8" ht="14.25" customHeight="1" thickTop="1" thickBot="1" x14ac:dyDescent="0.4">
      <c r="B142" s="5"/>
      <c r="C142" s="6"/>
      <c r="D142" s="5"/>
      <c r="E142" s="6"/>
      <c r="F142" s="5"/>
      <c r="G142" s="6"/>
      <c r="H142" s="5"/>
    </row>
    <row r="143" spans="2:8" ht="16.5" customHeight="1" thickTop="1" x14ac:dyDescent="0.35">
      <c r="B143" s="7"/>
      <c r="C143" s="7"/>
      <c r="D143" s="7"/>
      <c r="E143" s="7"/>
      <c r="F143" s="7"/>
      <c r="G143" s="7"/>
      <c r="H143" s="8"/>
    </row>
    <row r="144" spans="2:8" ht="56.25" customHeight="1" x14ac:dyDescent="0.35">
      <c r="B144" s="9"/>
      <c r="C144" s="9"/>
      <c r="D144" s="9"/>
      <c r="E144" s="9"/>
      <c r="F144" s="9"/>
      <c r="G144" s="9"/>
      <c r="H144" s="10"/>
    </row>
    <row r="145" spans="2:8" ht="16.5" customHeight="1" x14ac:dyDescent="0.35">
      <c r="B145" s="7"/>
      <c r="C145" s="7"/>
      <c r="D145" s="7"/>
      <c r="E145" s="7"/>
      <c r="F145" s="7"/>
      <c r="G145" s="7"/>
      <c r="H145" s="8"/>
    </row>
    <row r="146" spans="2:8" ht="56.25" customHeight="1" x14ac:dyDescent="0.35">
      <c r="B146" s="9"/>
      <c r="C146" s="9"/>
      <c r="D146" s="9"/>
      <c r="E146" s="9"/>
      <c r="F146" s="9"/>
      <c r="G146" s="9"/>
      <c r="H146" s="10"/>
    </row>
    <row r="147" spans="2:8" ht="16.5" customHeight="1" x14ac:dyDescent="0.35">
      <c r="B147" s="7"/>
      <c r="C147" s="7"/>
      <c r="D147" s="7"/>
      <c r="E147" s="7"/>
      <c r="F147" s="7"/>
      <c r="G147" s="7"/>
      <c r="H147" s="8"/>
    </row>
    <row r="148" spans="2:8" ht="56.25" customHeight="1" x14ac:dyDescent="0.35">
      <c r="B148" s="9"/>
      <c r="C148" s="9"/>
      <c r="D148" s="9"/>
      <c r="E148" s="9"/>
      <c r="F148" s="9"/>
      <c r="G148" s="9"/>
      <c r="H148" s="10"/>
    </row>
    <row r="149" spans="2:8" ht="16.5" customHeight="1" x14ac:dyDescent="0.35">
      <c r="B149" s="7"/>
      <c r="C149" s="7"/>
      <c r="D149" s="7"/>
      <c r="E149" s="7"/>
      <c r="F149" s="7"/>
      <c r="G149" s="7"/>
      <c r="H149" s="8"/>
    </row>
    <row r="150" spans="2:8" ht="56.25" customHeight="1" x14ac:dyDescent="0.35">
      <c r="B150" s="9"/>
      <c r="C150" s="9"/>
      <c r="D150" s="9"/>
      <c r="E150" s="9"/>
      <c r="F150" s="9"/>
      <c r="G150" s="9"/>
      <c r="H150" s="10"/>
    </row>
    <row r="151" spans="2:8" ht="16.5" customHeight="1" x14ac:dyDescent="0.35">
      <c r="B151" s="7"/>
      <c r="C151" s="7"/>
      <c r="D151" s="7"/>
      <c r="E151" s="7"/>
      <c r="F151" s="7"/>
      <c r="G151" s="7"/>
      <c r="H151" s="8"/>
    </row>
    <row r="152" spans="2:8" ht="57" customHeight="1" x14ac:dyDescent="0.35">
      <c r="B152" s="9"/>
      <c r="C152" s="9"/>
      <c r="D152" s="9"/>
      <c r="E152" s="9"/>
      <c r="F152" s="9"/>
      <c r="G152" s="9"/>
      <c r="H152" s="12"/>
    </row>
    <row r="153" spans="2:8" ht="16.5" customHeight="1" x14ac:dyDescent="0.35">
      <c r="B153" s="7"/>
      <c r="C153" s="7"/>
      <c r="D153" s="19"/>
      <c r="E153" s="18"/>
      <c r="F153" s="18"/>
      <c r="G153" s="18"/>
      <c r="H153" s="18"/>
    </row>
    <row r="154" spans="2:8" ht="63.75" customHeight="1" x14ac:dyDescent="0.35">
      <c r="B154" s="9"/>
      <c r="C154" s="9"/>
      <c r="D154" s="15"/>
      <c r="E154" s="15"/>
      <c r="F154" s="15"/>
      <c r="G154" s="15"/>
      <c r="H154" s="15"/>
    </row>
    <row r="155" spans="2:8" ht="54" customHeight="1" thickBot="1" x14ac:dyDescent="0.6">
      <c r="B155" s="2"/>
      <c r="C155" s="16"/>
      <c r="D155" s="16"/>
      <c r="E155" s="16"/>
      <c r="F155" s="1"/>
      <c r="G155" s="1"/>
      <c r="H155" s="1"/>
    </row>
    <row r="156" spans="2:8" ht="14.25" customHeight="1" thickTop="1" thickBot="1" x14ac:dyDescent="0.4">
      <c r="B156" s="5"/>
      <c r="C156" s="6"/>
      <c r="D156" s="5"/>
      <c r="E156" s="6"/>
      <c r="F156" s="5"/>
      <c r="G156" s="6"/>
      <c r="H156" s="5"/>
    </row>
    <row r="157" spans="2:8" ht="16.5" customHeight="1" thickTop="1" x14ac:dyDescent="0.35">
      <c r="B157" s="7"/>
      <c r="C157" s="7"/>
      <c r="D157" s="7"/>
      <c r="E157" s="7"/>
      <c r="F157" s="7"/>
      <c r="G157" s="7"/>
      <c r="H157" s="8"/>
    </row>
    <row r="158" spans="2:8" ht="56.25" customHeight="1" x14ac:dyDescent="0.35">
      <c r="B158" s="9"/>
      <c r="C158" s="9"/>
      <c r="D158" s="9"/>
      <c r="E158" s="9"/>
      <c r="F158" s="9"/>
      <c r="G158" s="9"/>
      <c r="H158" s="10"/>
    </row>
    <row r="159" spans="2:8" ht="16.5" customHeight="1" x14ac:dyDescent="0.35">
      <c r="B159" s="7"/>
      <c r="C159" s="7"/>
      <c r="D159" s="7"/>
      <c r="E159" s="7"/>
      <c r="F159" s="7"/>
      <c r="G159" s="7"/>
      <c r="H159" s="8"/>
    </row>
    <row r="160" spans="2:8" ht="56.25" customHeight="1" x14ac:dyDescent="0.35">
      <c r="B160" s="9"/>
      <c r="C160" s="9"/>
      <c r="D160" s="9"/>
      <c r="E160" s="9"/>
      <c r="F160" s="9"/>
      <c r="G160" s="9"/>
      <c r="H160" s="10"/>
    </row>
    <row r="161" spans="2:8" ht="16.5" customHeight="1" x14ac:dyDescent="0.35">
      <c r="B161" s="7"/>
      <c r="C161" s="7"/>
      <c r="D161" s="7"/>
      <c r="E161" s="7"/>
      <c r="F161" s="7"/>
      <c r="G161" s="7"/>
      <c r="H161" s="8"/>
    </row>
    <row r="162" spans="2:8" ht="56.25" customHeight="1" x14ac:dyDescent="0.35">
      <c r="B162" s="9"/>
      <c r="C162" s="9"/>
      <c r="D162" s="9"/>
      <c r="E162" s="9"/>
      <c r="F162" s="9"/>
      <c r="G162" s="9"/>
      <c r="H162" s="10"/>
    </row>
    <row r="163" spans="2:8" ht="16.5" customHeight="1" x14ac:dyDescent="0.35">
      <c r="B163" s="7"/>
      <c r="C163" s="7"/>
      <c r="D163" s="7"/>
      <c r="E163" s="7"/>
      <c r="F163" s="7"/>
      <c r="G163" s="7"/>
      <c r="H163" s="8"/>
    </row>
    <row r="164" spans="2:8" ht="56.25" customHeight="1" x14ac:dyDescent="0.35">
      <c r="B164" s="9"/>
      <c r="C164" s="9"/>
      <c r="D164" s="9"/>
      <c r="E164" s="9"/>
      <c r="F164" s="9"/>
      <c r="G164" s="9"/>
      <c r="H164" s="10"/>
    </row>
    <row r="165" spans="2:8" ht="16.5" customHeight="1" x14ac:dyDescent="0.35">
      <c r="B165" s="7"/>
      <c r="C165" s="7"/>
      <c r="D165" s="7"/>
      <c r="E165" s="7"/>
      <c r="F165" s="7"/>
      <c r="G165" s="7"/>
      <c r="H165" s="8"/>
    </row>
    <row r="166" spans="2:8" ht="57" customHeight="1" x14ac:dyDescent="0.35">
      <c r="B166" s="9"/>
      <c r="C166" s="9"/>
      <c r="D166" s="9"/>
      <c r="E166" s="9"/>
      <c r="F166" s="9"/>
      <c r="G166" s="9"/>
      <c r="H166" s="12"/>
    </row>
    <row r="167" spans="2:8" ht="16.5" customHeight="1" x14ac:dyDescent="0.35">
      <c r="B167" s="7"/>
      <c r="C167" s="7"/>
      <c r="D167" s="19"/>
      <c r="E167" s="18"/>
      <c r="F167" s="18"/>
      <c r="G167" s="18"/>
      <c r="H167" s="18"/>
    </row>
    <row r="168" spans="2:8" ht="63.75" customHeight="1" x14ac:dyDescent="0.35">
      <c r="B168" s="9"/>
      <c r="C168" s="9"/>
      <c r="D168" s="15"/>
      <c r="E168" s="15"/>
      <c r="F168" s="15"/>
      <c r="G168" s="15"/>
      <c r="H168" s="15"/>
    </row>
  </sheetData>
  <mergeCells count="36">
    <mergeCell ref="D168:H168"/>
    <mergeCell ref="C113:E113"/>
    <mergeCell ref="D125:H125"/>
    <mergeCell ref="D126:H126"/>
    <mergeCell ref="C127:E127"/>
    <mergeCell ref="D139:H139"/>
    <mergeCell ref="D140:H140"/>
    <mergeCell ref="C141:E141"/>
    <mergeCell ref="D153:H153"/>
    <mergeCell ref="D154:H154"/>
    <mergeCell ref="C155:E155"/>
    <mergeCell ref="D167:H167"/>
    <mergeCell ref="D112:H112"/>
    <mergeCell ref="C57:E57"/>
    <mergeCell ref="D69:H69"/>
    <mergeCell ref="D70:H70"/>
    <mergeCell ref="C71:E71"/>
    <mergeCell ref="D83:H83"/>
    <mergeCell ref="D84:H84"/>
    <mergeCell ref="C85:E85"/>
    <mergeCell ref="D97:H97"/>
    <mergeCell ref="D98:H98"/>
    <mergeCell ref="C99:E99"/>
    <mergeCell ref="D111:H111"/>
    <mergeCell ref="D56:H56"/>
    <mergeCell ref="C1:E1"/>
    <mergeCell ref="D13:H13"/>
    <mergeCell ref="D14:H14"/>
    <mergeCell ref="C15:E15"/>
    <mergeCell ref="D27:H27"/>
    <mergeCell ref="D28:H28"/>
    <mergeCell ref="C29:E29"/>
    <mergeCell ref="D41:H41"/>
    <mergeCell ref="D42:H42"/>
    <mergeCell ref="C43:E43"/>
    <mergeCell ref="D55:H55"/>
  </mergeCells>
  <conditionalFormatting sqref="B3:H3 B5:H5 B7:H7 B9:H9 B11:H11 B13:C13">
    <cfRule type="expression" dxfId="11" priority="12">
      <formula>MONTH(B3)&lt;&gt;Calendar1MonthOption</formula>
    </cfRule>
  </conditionalFormatting>
  <conditionalFormatting sqref="B17:H17 B19:H19 B21:H21 B23:H23 B25:H25 B27:C27">
    <cfRule type="expression" dxfId="10" priority="11">
      <formula>MONTH(B17)&lt;&gt;Calendar2MonthOption</formula>
    </cfRule>
  </conditionalFormatting>
  <conditionalFormatting sqref="B31:H31 B33:H33 B35:H35 B37:H37 B39:H39 B41:C41">
    <cfRule type="expression" dxfId="9" priority="10">
      <formula>MONTH(B31)&lt;&gt;Calendar3MonthOption</formula>
    </cfRule>
  </conditionalFormatting>
  <conditionalFormatting sqref="B45:H45 B47:H47 B49:H49 B51:H51 B53:H53 B55:C55">
    <cfRule type="expression" dxfId="8" priority="9">
      <formula>MONTH(B45)&lt;&gt;Calendar4MonthOption</formula>
    </cfRule>
  </conditionalFormatting>
  <conditionalFormatting sqref="B59:H59 B61:H61 B63:H63 B65:H65 B67:H67 B69:C69">
    <cfRule type="expression" dxfId="7" priority="8">
      <formula>MONTH(B59)&lt;&gt;Calendar5MonthOption</formula>
    </cfRule>
  </conditionalFormatting>
  <conditionalFormatting sqref="B73:H73 B75:H75 B77:H77 B79:H79 B81:H81 B83:C83">
    <cfRule type="expression" dxfId="6" priority="7">
      <formula>MONTH(B73)&lt;&gt;Calendar6MonthOption</formula>
    </cfRule>
  </conditionalFormatting>
  <conditionalFormatting sqref="B87:H87 B89:H89 B91:H91 B93:H93 B95:H95 B97:C97">
    <cfRule type="expression" dxfId="5" priority="6">
      <formula>MONTH(B87)&lt;&gt;Calendar7MonthOption</formula>
    </cfRule>
  </conditionalFormatting>
  <conditionalFormatting sqref="B101:H101 B103:H103 B105:H105 B107:H107 B109:H109 B111:C111">
    <cfRule type="expression" dxfId="4" priority="5">
      <formula>MONTH(B101)&lt;&gt;Calendar8MonthOption</formula>
    </cfRule>
  </conditionalFormatting>
  <conditionalFormatting sqref="B115:H115 B117:H117 B119:H119 B121:H121 B123:H123 B125:C125">
    <cfRule type="expression" dxfId="3" priority="4">
      <formula>MONTH(B115)&lt;&gt;Calendar9MonthOption</formula>
    </cfRule>
  </conditionalFormatting>
  <conditionalFormatting sqref="B129:H129 B131:H131 B133:H133 B135:H135 B137:H137 B139:C139">
    <cfRule type="expression" dxfId="2" priority="3">
      <formula>MONTH(B129)&lt;&gt;Calendar10MonthOption</formula>
    </cfRule>
  </conditionalFormatting>
  <conditionalFormatting sqref="B143:H143 B145:H145 B147:H147 B149:H149 B151:H151 B153:C153">
    <cfRule type="expression" dxfId="1" priority="2">
      <formula>MONTH(B143)&lt;&gt;Calendar11MonthOption</formula>
    </cfRule>
  </conditionalFormatting>
  <conditionalFormatting sqref="B157:H157 B159:H159 B161:H161 B163:H163 B165:H165 B167:C167">
    <cfRule type="expression" dxfId="0" priority="1">
      <formula>MONTH(B157)&lt;&gt;Calendar12MonthOption</formula>
    </cfRule>
  </conditionalFormatting>
  <dataValidations count="14">
    <dataValidation allowBlank="1" showInputMessage="1" prompt="Date" sqref="B3" xr:uid="{2646291C-A14E-4649-9D6D-6E78B0CF1035}"/>
    <dataValidation allowBlank="1" showInputMessage="1" showErrorMessage="1" prompt="Automatically determined weekday. To change weekdays, select a new week start day in cell B2" sqref="C16:H16 B30:H30 B44:H44 B58:H58 B72:H72 B86:H86 B100:H100 B114:H114 B128:H128 B142:H142 B156:H156" xr:uid="{B00B8BD7-149A-4C5A-8D3D-B7BF2B839B7E}"/>
    <dataValidation allowBlank="1" showInputMessage="1" showErrorMessage="1" prompt="Calendar month is automatically updated based on the month selected in cell C1" sqref="C141:E141 C29:E29 C43:E43 C57:E57 C71:E71 C85:E85 C99:E99 C113:E113 C127:E127 C155:E155" xr:uid="{D2F2F9B6-8B3E-462C-8F24-FC8ADED3597E}"/>
    <dataValidation allowBlank="1" showInputMessage="1" showErrorMessage="1" prompt="Calendar year is automatically updated based on the year selected in cell B1" sqref="B29 B43 B57 B71 B85 B99 B113 B127 B141 B155" xr:uid="{3963DA9D-C296-49F6-BCE0-B698208EA893}"/>
    <dataValidation allowBlank="1" showInputMessage="1" prompt="Enter monthly Notes in this cell" sqref="D14:H14" xr:uid="{BB84EEE9-8CA3-42A5-9CAB-7F82793257BB}"/>
    <dataValidation allowBlank="1" showInputMessage="1" prompt="Enter monthly Notes in cell below" sqref="D13:H13" xr:uid="{49219116-79EE-48DD-8240-9C64D827799A}"/>
    <dataValidation allowBlank="1" showInputMessage="1" prompt="Calendar month is automatically updated based on the month selected in cell C1" sqref="C15:E15" xr:uid="{336642C1-4676-488F-995F-9807AAF93470}"/>
    <dataValidation allowBlank="1" showInputMessage="1" prompt="Calendar year is automatically updated based on the year selected in cell B1" sqref="B15" xr:uid="{9908CDA1-5CC1-4636-8B00-11BE99E12732}"/>
    <dataValidation allowBlank="1" showInputMessage="1" prompt="Enter daily notes here" sqref="B4" xr:uid="{6F1A83A9-17E4-4D44-912D-9B033FA16C92}"/>
    <dataValidation allowBlank="1" showInputMessage="1" prompt="Automatically determined weekday. To change weekdays, select a new week start day in cell B2" sqref="C2:H2 B16" xr:uid="{95F125E7-71BB-4B5E-9FA2-245DB8802B5C}"/>
    <dataValidation allowBlank="1" showInputMessage="1" showErrorMessage="1" prompt="Enter year in this cell" sqref="B1" xr:uid="{A576B7F3-F0A2-4A35-864C-DCD60AD0424F}"/>
    <dataValidation allowBlank="1" showInputMessage="1" prompt="This workbook is a 12-month calendar. Enter starting year in cell B1, then select the starting month in cell C1. The calendar will update automatically for subsequent months" sqref="A1" xr:uid="{40363705-C6A6-4692-B66F-06BC2B701543}"/>
    <dataValidation type="list" errorStyle="warning" allowBlank="1" showInputMessage="1" showErrorMessage="1" error="Select calendar start month from the list. Select CANCEL, press ALT+DOWN ARROW for options, then DOWN ARROW and ENTER to make selection" prompt="Select calendar start month in this cell. Press ALT+DOWN ARROW to open the drop-down list, then ENTER to make the selection" sqref="C1:E1" xr:uid="{7D8D9376-E450-4240-B675-2DAA1AB711ED}">
      <formula1>"January,February,March,April,May,June,July,August,September,October,November,December"</formula1>
    </dataValidation>
    <dataValidation type="list" errorStyle="warning" allowBlank="1" showInputMessage="1" showErrorMessage="1" error="Select the week start day from the list. Select CANCEL,press ALT+DOWN ARROW for options, then DOWN ARROW and ENTER to make selection" prompt="Select the week start day in this cell. Press ALT+DOWN ARROW to open the drop-down list, then ENTER to make the selection. The calendar will update automatically" sqref="B2" xr:uid="{267F4C58-5049-4158-A8BF-56B6DEF1ACAE}">
      <formula1>"SUNDAY,MONDAY,TUESDAY,WEDNESDAY,THURSDAY,FRIDAY,SATURDAY"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events">
          <controlPr defaultSize="0" autoLine="0" autoPict="0" r:id="rId4">
            <anchor moveWithCells="1">
              <from>
                <xdr:col>9</xdr:col>
                <xdr:colOff>596900</xdr:colOff>
                <xdr:row>3</xdr:row>
                <xdr:rowOff>355600</xdr:rowOff>
              </from>
              <to>
                <xdr:col>13</xdr:col>
                <xdr:colOff>469900</xdr:colOff>
                <xdr:row>7</xdr:row>
                <xdr:rowOff>165100</xdr:rowOff>
              </to>
            </anchor>
          </controlPr>
        </control>
      </mc:Choice>
      <mc:Fallback>
        <control shapeId="1025" r:id="rId3" name="Cmdeven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CFEC-A907-4DE7-A8F1-CC1198D8B3E2}">
  <sheetPr codeName="Sheet2"/>
  <dimension ref="A1:B6"/>
  <sheetViews>
    <sheetView workbookViewId="0">
      <selection activeCell="B5" sqref="B5"/>
    </sheetView>
  </sheetViews>
  <sheetFormatPr defaultRowHeight="14.5" x14ac:dyDescent="0.35"/>
  <cols>
    <col min="1" max="1" width="10.08984375" bestFit="1" customWidth="1"/>
    <col min="2" max="2" width="16.1796875" customWidth="1"/>
  </cols>
  <sheetData>
    <row r="1" spans="1:2" x14ac:dyDescent="0.35">
      <c r="A1" s="14" t="s">
        <v>3</v>
      </c>
      <c r="B1" s="14" t="s">
        <v>4</v>
      </c>
    </row>
    <row r="2" spans="1:2" x14ac:dyDescent="0.35">
      <c r="A2" s="13">
        <v>44774</v>
      </c>
      <c r="B2" t="s">
        <v>5</v>
      </c>
    </row>
    <row r="3" spans="1:2" x14ac:dyDescent="0.35">
      <c r="A3" s="13">
        <v>44791</v>
      </c>
      <c r="B3" t="s">
        <v>6</v>
      </c>
    </row>
    <row r="4" spans="1:2" x14ac:dyDescent="0.35">
      <c r="A4" s="13">
        <v>44802</v>
      </c>
      <c r="B4" t="s">
        <v>9</v>
      </c>
    </row>
    <row r="5" spans="1:2" x14ac:dyDescent="0.35">
      <c r="A5" s="13"/>
    </row>
    <row r="6" spans="1:2" x14ac:dyDescent="0.35">
      <c r="A6" s="1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calendar</vt:lpstr>
      <vt:lpstr>events</vt:lpstr>
      <vt:lpstr>Calendar10Year</vt:lpstr>
      <vt:lpstr>Calendar11Year</vt:lpstr>
      <vt:lpstr>Calendar12Year</vt:lpstr>
      <vt:lpstr>Calendar1Year</vt:lpstr>
      <vt:lpstr>Calendar2Year</vt:lpstr>
      <vt:lpstr>Calendar3Year</vt:lpstr>
      <vt:lpstr>Calendar4Year</vt:lpstr>
      <vt:lpstr>Calendar5Year</vt:lpstr>
      <vt:lpstr>Calendar6Year</vt:lpstr>
      <vt:lpstr>Calendar7Year</vt:lpstr>
      <vt:lpstr>Calendar8Year</vt:lpstr>
      <vt:lpstr>Calendar9Year</vt:lpstr>
      <vt:lpstr>WeekStart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PRIYA</dc:creator>
  <cp:lastModifiedBy>SHIVANI PRIYA</cp:lastModifiedBy>
  <dcterms:created xsi:type="dcterms:W3CDTF">2022-08-26T08:12:35Z</dcterms:created>
  <dcterms:modified xsi:type="dcterms:W3CDTF">2022-08-27T07:50:09Z</dcterms:modified>
</cp:coreProperties>
</file>